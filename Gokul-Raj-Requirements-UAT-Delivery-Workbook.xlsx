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c1e0cde91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Dashboard" sheetId="1" r:id="R5ba589b65dac426f"/>
    <x:sheet xmlns:r="http://schemas.openxmlformats.org/officeDocument/2006/relationships" name="Requirements Catalog" sheetId="2" r:id="R92eafebd5650488f"/>
    <x:sheet xmlns:r="http://schemas.openxmlformats.org/officeDocument/2006/relationships" name="RTM" sheetId="3" r:id="R3ca665e5bb7c41e0"/>
    <x:sheet xmlns:r="http://schemas.openxmlformats.org/officeDocument/2006/relationships" name="UAT Tracker" sheetId="4" r:id="R4ef032143b01495b"/>
    <x:sheet xmlns:r="http://schemas.openxmlformats.org/officeDocument/2006/relationships" name="Defect Log" sheetId="5" r:id="R40d11ef955e74ca5"/>
    <x:sheet xmlns:r="http://schemas.openxmlformats.org/officeDocument/2006/relationships" name="Sign-Off" sheetId="6" r:id="R7ade419354a8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"/>
  </x:numFmts>
  <x:fonts count="15">
    <x:font>
      <x:sz val="11"/>
      <x:name val="Carlito"/>
    </x:font>
    <x:font>
      <x:b/>
      <x:sz val="20"/>
      <x:color rgb="FFFFFFFF"/>
      <x:name val="Calibri"/>
    </x:font>
    <x:font>
      <x:i/>
      <x:sz val="11"/>
      <x:color rgb="FF526373"/>
      <x:name val="Calibri"/>
    </x:font>
    <x:font>
      <x:b/>
      <x:sz val="11"/>
      <x:color rgb="FFFFFFFF"/>
      <x:name val="Calibri"/>
    </x:font>
    <x:font>
      <x:sz val="11"/>
      <x:color rgb="FF24313B"/>
      <x:name val="Calibri"/>
    </x:font>
    <x:font>
      <x:b/>
      <x:sz val="13"/>
      <x:color rgb="FF17324D"/>
      <x:name val="Calibri"/>
    </x:font>
    <x:font>
      <x:b/>
      <x:sz val="14"/>
      <x:color rgb="FFFFFFFF"/>
      <x:name val="Carlito"/>
    </x:font>
    <x:font>
      <x:b/>
      <x:sz val="14"/>
      <x:color rgb="FF17324D"/>
      <x:name val="Carlito"/>
    </x:font>
    <x:font>
      <x:b/>
      <x:sz val="11"/>
      <x:color rgb="FFFFFFFF"/>
      <x:name val="Carlito"/>
    </x:font>
    <x:font>
      <x:b/>
      <x:sz val="20"/>
      <x:color rgb="FF3F7C78"/>
      <x:name val="Carlito"/>
    </x:font>
    <x:font>
      <x:i/>
      <x:sz val="11"/>
      <x:color rgb="FF526373"/>
      <x:name val="Carlito"/>
    </x:font>
    <x:font>
      <x:sz val="11"/>
      <x:name val="Calibri"/>
    </x:font>
    <x:font>
      <x:b/>
      <x:sz val="20"/>
      <x:color rgb="FF3F7C78"/>
      <x:name val="Calibri"/>
    </x:font>
    <x:font>
      <x:b/>
      <x:sz val="14"/>
      <x:color rgb="FFFFFFFF"/>
      <x:name val="Calibri"/>
    </x:font>
    <x:font>
      <x:b/>
      <x:sz val="14"/>
      <x:color rgb="FF17324D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4EE"/>
      </x:patternFill>
    </x:fill>
    <x:fill>
      <x:patternFill patternType="solid">
        <x:fgColor rgb="FF3F7C78"/>
      </x:patternFill>
    </x:fill>
    <x:fill>
      <x:patternFill patternType="solid">
        <x:fgColor rgb="FFEAF0ED"/>
      </x:patternFill>
    </x:fill>
    <x:fill>
      <x:patternFill patternType="solid">
        <x:fgColor rgb="FFFFF1D6"/>
      </x:patternFill>
    </x:fill>
  </x:fills>
  <x:borders count="4">
    <x:border/>
    <x:border>
      <x:bottom style="thin">
        <x:color rgb="FF17324D"/>
      </x:bottom>
    </x:border>
    <x:border>
      <x:bottom style="thin">
        <x:color rgb="FFD9DED8"/>
      </x:bottom>
    </x:border>
    <x:border>
      <x:bottom style="thin">
        <x:color rgb="FF3F7C78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4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3" xfId="0" applyNumberFormat="1" applyFont="1" applyFill="1" applyBorder="1"/>
    <x:xf numFmtId="201" fontId="9" fillId="3" borderId="0" xfId="0" applyNumberFormat="1" applyFont="1" applyFill="1" applyBorder="1"/>
    <x:xf numFmtId="201" fontId="9" fillId="3" borderId="3" xfId="0" applyNumberFormat="1" applyFont="1" applyFill="1" applyBorder="1"/>
    <x:xf numFmtId="201" fontId="9" fillId="3" borderId="0" xfId="0" applyNumberFormat="1" applyFont="1" applyFill="1" applyBorder="1" applyAlignment="1">
      <x:alignment horizontal="center"/>
    </x:xf>
    <x:xf numFmtId="201" fontId="9" fillId="3" borderId="3" xfId="0" applyNumberFormat="1" applyFont="1" applyFill="1" applyBorder="1" applyAlignment="1">
      <x:alignment horizontal="center"/>
    </x:xf>
    <x:xf numFmtId="201" fontId="9" fillId="3" borderId="0" xfId="0" applyNumberFormat="1" applyFont="1" applyFill="1" applyBorder="1" applyAlignment="1">
      <x:alignment horizontal="center" vertical="center"/>
    </x:xf>
    <x:xf numFmtId="201" fontId="9" fillId="3" borderId="3" xfId="0" applyNumberFormat="1" applyFont="1" applyFill="1" applyBorder="1" applyAlignment="1">
      <x:alignment horizontal="center" vertical="center"/>
    </x:xf>
    <x:xf numFmtId="202" fontId="9" fillId="3" borderId="0" xfId="0" applyNumberFormat="1" applyFont="1" applyFill="1" applyBorder="1"/>
    <x:xf numFmtId="202" fontId="9" fillId="3" borderId="3" xfId="0" applyNumberFormat="1" applyFont="1" applyFill="1" applyBorder="1"/>
    <x:xf numFmtId="202" fontId="9" fillId="3" borderId="0" xfId="0" applyNumberFormat="1" applyFont="1" applyFill="1" applyBorder="1" applyAlignment="1">
      <x:alignment horizontal="center"/>
    </x:xf>
    <x:xf numFmtId="202" fontId="9" fillId="3" borderId="3" xfId="0" applyNumberFormat="1" applyFont="1" applyFill="1" applyBorder="1" applyAlignment="1">
      <x:alignment horizontal="center"/>
    </x:xf>
    <x:xf numFmtId="202" fontId="9" fillId="3" borderId="0" xfId="0" applyNumberFormat="1" applyFont="1" applyFill="1" applyBorder="1" applyAlignment="1">
      <x:alignment horizontal="center" vertical="center"/>
    </x:xf>
    <x:xf numFmtId="202" fontId="9" fillId="3" borderId="3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201" fontId="12" fillId="3" borderId="0" xfId="0" applyNumberFormat="1" applyFont="1" applyFill="1" applyBorder="1" applyAlignment="1">
      <x:alignment horizontal="center" vertical="center"/>
    </x:xf>
    <x:xf numFmtId="202" fontId="12" fillId="3" borderId="0" xfId="0" applyNumberFormat="1" applyFont="1" applyFill="1" applyBorder="1" applyAlignment="1">
      <x:alignment horizontal="center" vertical="center"/>
    </x:xf>
    <x:xf numFmtId="201" fontId="12" fillId="3" borderId="3" xfId="0" applyNumberFormat="1" applyFont="1" applyFill="1" applyBorder="1" applyAlignment="1">
      <x:alignment horizontal="center" vertical="center"/>
    </x:xf>
    <x:xf numFmtId="202" fontId="12" fillId="3" borderId="3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  <x:color rgb="FFC84A4A"/>
      </x:font>
      <x:fill>
        <x:patternFill patternType="solid">
          <x:bgColor rgb="FFFBE7E7"/>
        </x:patternFill>
      </x:fill>
    </x:dxf>
    <x:dxf>
      <x:font>
        <x:b/>
        <x:color rgb="FF4D8664"/>
      </x:font>
      <x:fill>
        <x:patternFill patternType="solid">
          <x:bgColor rgb="FFE4F2E8"/>
        </x:patternFill>
      </x:fill>
    </x:dxf>
    <x:dxf>
      <x:font>
        <x:b/>
        <x:color rgb="FF4D8664"/>
      </x:font>
      <x:fill>
        <x:patternFill patternType="solid">
          <x:bgColor rgb="FFE4F2E8"/>
        </x:patternFill>
      </x:fill>
    </x:dxf>
    <x:dxf>
      <x:font>
        <x:b/>
        <x:color rgb="FFC84A4A"/>
      </x:font>
      <x:fill>
        <x:patternFill patternType="solid">
          <x:bgColor rgb="FFFBE7E7"/>
        </x:patternFill>
      </x:fill>
    </x:dxf>
    <x:dxf>
      <x:font>
        <x:b/>
        <x:color rgb="FFD79A32"/>
      </x:font>
      <x:fill>
        <x:patternFill patternType="solid">
          <x:bgColor rgb="FFFFF1D6"/>
        </x:patternFill>
      </x:fill>
    </x:dxf>
    <x:dxf>
      <x:font>
        <x:b/>
        <x:color rgb="FFC84A4A"/>
      </x:font>
      <x:fill>
        <x:patternFill patternType="solid">
          <x:bgColor rgb="FFF6CCCC"/>
        </x:patternFill>
      </x:fill>
    </x:dxf>
    <x:dxf>
      <x:font>
        <x:b/>
        <x:color rgb="FFC84A4A"/>
      </x:font>
      <x:fill>
        <x:patternFill patternType="solid">
          <x:bgColor rgb="FFFBE7E7"/>
        </x:patternFill>
      </x:fill>
    </x:dxf>
    <x:dxf>
      <x:font>
        <x:b/>
        <x:color rgb="FF4D8664"/>
      </x:font>
      <x:fill>
        <x:patternFill patternType="solid">
          <x:bgColor rgb="FFE4F2E8"/>
        </x:patternFill>
      </x:fill>
    </x:dxf>
    <x:dxf>
      <x:font>
        <x:b/>
        <x:color rgb="FF4D8664"/>
      </x:font>
      <x:fill>
        <x:patternFill patternType="solid">
          <x:bgColor rgb="FFE4F2E8"/>
        </x:patternFill>
      </x:fill>
    </x:dxf>
    <x:dxf>
      <x:font>
        <x:b/>
        <x:color rgb="FFC84A4A"/>
      </x:font>
      <x:fill>
        <x:patternFill patternType="solid">
          <x:bgColor rgb="FFFBE7E7"/>
        </x:patternFill>
      </x:fill>
    </x:dxf>
    <x:dxf>
      <x:font>
        <x:b/>
        <x:color rgb="FFD79A32"/>
      </x:font>
      <x:fill>
        <x:patternFill patternType="solid">
          <x:bgColor rgb="FFFFF1D6"/>
        </x:patternFill>
      </x:fill>
    </x:dxf>
    <x:dxf>
      <x:font>
        <x:b/>
        <x:color rgb="FF4D8664"/>
      </x:font>
      <x:fill>
        <x:patternFill patternType="solid">
          <x:bgColor rgb="FFE4F2E8"/>
        </x:patternFill>
      </x:fill>
    </x:dxf>
    <x:dxf>
      <x:font>
        <x:b/>
        <x:color rgb="FFC84A4A"/>
      </x:font>
      <x:fill>
        <x:patternFill patternType="solid">
          <x:bgColor rgb="FFFB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980465d8444d9" /><Relationship Type="http://schemas.openxmlformats.org/officeDocument/2006/relationships/theme" Target="/xl/theme/theme1.xml" Id="Rf236a56c3ab144a5" /><Relationship Type="http://schemas.openxmlformats.org/officeDocument/2006/relationships/sharedStrings" Target="/xl/sharedStrings.xml" Id="R4a3a65a008404e50" /><Relationship Type="http://schemas.openxmlformats.org/officeDocument/2006/relationships/worksheet" Target="/xl/worksheets/sheet1.xml" Id="R5ba589b65dac426f" /><Relationship Type="http://schemas.openxmlformats.org/officeDocument/2006/relationships/worksheet" Target="/xl/worksheets/sheet2.xml" Id="R92eafebd5650488f" /><Relationship Type="http://schemas.openxmlformats.org/officeDocument/2006/relationships/worksheet" Target="/xl/worksheets/sheet3.xml" Id="R3ca665e5bb7c41e0" /><Relationship Type="http://schemas.openxmlformats.org/officeDocument/2006/relationships/worksheet" Target="/xl/worksheets/sheet4.xml" Id="R4ef032143b01495b" /><Relationship Type="http://schemas.openxmlformats.org/officeDocument/2006/relationships/worksheet" Target="/xl/worksheets/sheet5.xml" Id="R40d11ef955e74ca5" /><Relationship Type="http://schemas.openxmlformats.org/officeDocument/2006/relationships/worksheet" Target="/xl/worksheets/sheet6.xml" Id="R7ade419354a843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127637a1f74ad7" /><Relationship Type="http://schemas.openxmlformats.org/officeDocument/2006/relationships/chart" Target="/xl/drawings/charts/chart2.xml" Id="R022f63e073cf41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UAT Result Mix</a:t>
            </a:r>
          </a:p>
        </c:rich>
      </c:tx>
    </c:title>
    <c:plotArea>
      <c:doughnutChart>
        <c:ser>
          <c:idx val="0"/>
          <c:order val="0"/>
          <c:tx>
            <c:v>Count</c:v>
          </c:tx>
          <c:cat>
            <c:strRef>
              <c:f>'UAT Dashboard'!$A$14:$A$17</c:f>
              <c:strCache>
                <c:ptCount val="0"/>
              </c:strCache>
            </c:strRef>
          </c:cat>
          <c:val>
            <c:numRef>
              <c:f>'UAT Dashboard'!$B$14:$B$17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Defects by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Defects</c:v>
          </c:tx>
          <c:cat>
            <c:strRef>
              <c:f>'UAT Dashboard'!$D$14:$D$17</c:f>
              <c:strCache>
                <c:ptCount val="0"/>
              </c:strCache>
            </c:strRef>
          </c:cat>
          <c:val>
            <c:numRef>
              <c:f>'UAT Dashboard'!$E$14:$E$17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127637a1f74ad7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2f63e073cf41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9882e15e3c46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3" t="str">
        <x:v>Requirements and UAT Delivery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6" t="str">
        <x:v>Employee Service Request Portal | Independent portfolio case study | Prepared by Gokul Raj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 ht="26" customHeight="1">
      <x:c r="A4" s="21" t="str">
        <x:v>UAT Readiness Snapshot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>
      <x:c r="A5" s="51"/>
      <x:c r="B5" s="51"/>
      <x:c r="C5" s="51"/>
      <x:c r="D5" s="51"/>
      <x:c r="E5" s="51"/>
      <x:c r="F5" s="51"/>
      <x:c r="G5" s="51"/>
      <x:c r="H5" s="51"/>
      <x:c r="I5" s="51"/>
      <x:c r="J5" s="51"/>
    </x:row>
    <x:row r="6">
      <x:c r="A6" s="52" t="str">
        <x:v>Test Execution</x:v>
      </x:c>
      <x:c r="B6" s="52"/>
      <x:c r="C6" s="52"/>
      <x:c r="D6" s="52" t="str">
        <x:v>Pass Rate</x:v>
      </x:c>
      <x:c r="E6" s="52"/>
      <x:c r="F6" s="52"/>
      <x:c r="G6" s="52" t="str">
        <x:v>Requirements Validated</x:v>
      </x:c>
      <x:c r="H6" s="52"/>
      <x:c r="I6" s="52"/>
      <x:c r="J6" s="52" t="str">
        <x:v>Open Sev 1–2 Defects</x:v>
      </x:c>
      <x:c r="K6" s="33"/>
      <x:c r="L6" s="33"/>
    </x:row>
    <x:row r="7">
      <x:c r="A7" s="53" t="n">
        <x:f>COUNTIF('UAT Tracker'!$F$5:$F$23,"&lt;&gt;Not Run")/COUNTA('UAT Tracker'!$A$5:$A$23)</x:f>
        <x:v>0.8947368421052632</x:v>
      </x:c>
      <x:c r="B7" s="53"/>
      <x:c r="C7" s="53"/>
      <x:c r="D7" s="53" t="n">
        <x:f>COUNTIF('UAT Tracker'!$F$5:$F$23,"Pass")/COUNTIF('UAT Tracker'!$F$5:$F$23,"&lt;&gt;Not Run")</x:f>
        <x:v>0.7058823529411765</x:v>
      </x:c>
      <x:c r="E7" s="53"/>
      <x:c r="F7" s="53"/>
      <x:c r="G7" s="53" t="n">
        <x:f>COUNTIF('RTM'!$I$5:$I$18,"Validated")/COUNTA('RTM'!$A$5:$A$18)</x:f>
        <x:v>0.5714285714285714</x:v>
      </x:c>
      <x:c r="H7" s="53"/>
      <x:c r="I7" s="53"/>
      <x:c r="J7" s="54" t="n">
        <x:f>COUNTIFS('Defect Log'!$C$5:$C$10,"Severity 1",'Defect Log'!$E$5:$E$10,"&lt;&gt;Closed")+COUNTIFS('Defect Log'!$C$5:$C$10,"Severity 2",'Defect Log'!$E$5:$E$10,"&lt;&gt;Closed")</x:f>
        <x:v>3</x:v>
      </x:c>
      <x:c r="K7" s="46"/>
      <x:c r="L7" s="46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6"/>
      <x:c r="K8" s="47"/>
      <x:c r="L8" s="47"/>
    </x:row>
    <x:row r="9">
      <x:c r="A9" s="51"/>
      <x:c r="B9" s="51"/>
      <x:c r="C9" s="51"/>
      <x:c r="D9" s="51"/>
      <x:c r="E9" s="51"/>
      <x:c r="F9" s="51"/>
      <x:c r="G9" s="51"/>
      <x:c r="H9" s="51"/>
      <x:c r="I9" s="51"/>
      <x:c r="J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</x:row>
    <x:row r="11" ht="26" customHeight="1">
      <x:c r="A11" s="21" t="str">
        <x:v>Execution and Defect Overview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</x:row>
    <x:row r="13" ht="30" customHeight="1">
      <x:c r="A13" s="11" t="str">
        <x:v>Test Result</x:v>
      </x:c>
      <x:c r="B13" s="11" t="str">
        <x:v>Count</x:v>
      </x:c>
      <x:c r="C13" s="51"/>
      <x:c r="D13" s="11" t="str">
        <x:v>Severity</x:v>
      </x:c>
      <x:c r="E13" s="11" t="str">
        <x:v>Open Defects</x:v>
      </x:c>
      <x:c r="F13" s="51"/>
      <x:c r="G13" s="51"/>
      <x:c r="H13" s="51"/>
      <x:c r="I13" s="51"/>
      <x:c r="J13" s="51"/>
    </x:row>
    <x:row r="14">
      <x:c r="A14" s="51" t="str">
        <x:v>Pass</x:v>
      </x:c>
      <x:c r="B14" s="51" t="n">
        <x:f>COUNTIF('UAT Tracker'!$F$5:$F$23,A14)</x:f>
        <x:v>12</x:v>
      </x:c>
      <x:c r="C14" s="51"/>
      <x:c r="D14" s="51" t="str">
        <x:v>Severity 1</x:v>
      </x:c>
      <x:c r="E14" s="51" t="n">
        <x:f>COUNTIFS('Defect Log'!$C$5:$C$10,D14,'Defect Log'!$E$5:$E$10,"&lt;&gt;Closed",'Defect Log'!$E$5:$E$10,"&lt;&gt;Rejected")</x:f>
        <x:v>0</x:v>
      </x:c>
      <x:c r="F14" s="51"/>
      <x:c r="G14" s="51"/>
      <x:c r="H14" s="51"/>
      <x:c r="I14" s="51"/>
      <x:c r="J14" s="51"/>
    </x:row>
    <x:row r="15">
      <x:c r="A15" s="51" t="str">
        <x:v>Fail</x:v>
      </x:c>
      <x:c r="B15" s="51" t="n">
        <x:f>COUNTIF('UAT Tracker'!$F$5:$F$23,A15)</x:f>
        <x:v>3</x:v>
      </x:c>
      <x:c r="C15" s="51"/>
      <x:c r="D15" s="51" t="str">
        <x:v>Severity 2</x:v>
      </x:c>
      <x:c r="E15" s="51" t="n">
        <x:f>COUNTIFS('Defect Log'!$C$5:$C$10,D15,'Defect Log'!$E$5:$E$10,"&lt;&gt;Closed",'Defect Log'!$E$5:$E$10,"&lt;&gt;Rejected")</x:f>
        <x:v>3</x:v>
      </x:c>
      <x:c r="F15" s="51"/>
      <x:c r="G15" s="51"/>
      <x:c r="H15" s="51"/>
      <x:c r="I15" s="51"/>
      <x:c r="J15" s="51"/>
    </x:row>
    <x:row r="16">
      <x:c r="A16" s="51" t="str">
        <x:v>Blocked</x:v>
      </x:c>
      <x:c r="B16" s="51" t="n">
        <x:f>COUNTIF('UAT Tracker'!$F$5:$F$23,A16)</x:f>
        <x:v>2</x:v>
      </x:c>
      <x:c r="C16" s="51"/>
      <x:c r="D16" s="51" t="str">
        <x:v>Severity 3</x:v>
      </x:c>
      <x:c r="E16" s="51" t="n">
        <x:f>COUNTIFS('Defect Log'!$C$5:$C$10,D16,'Defect Log'!$E$5:$E$10,"&lt;&gt;Closed",'Defect Log'!$E$5:$E$10,"&lt;&gt;Rejected")</x:f>
        <x:v>2</x:v>
      </x:c>
      <x:c r="F16" s="51"/>
      <x:c r="G16" s="51"/>
      <x:c r="H16" s="51"/>
      <x:c r="I16" s="51"/>
      <x:c r="J16" s="51"/>
    </x:row>
    <x:row r="17">
      <x:c r="A17" s="51" t="str">
        <x:v>Not Run</x:v>
      </x:c>
      <x:c r="B17" s="51" t="n">
        <x:f>COUNTIF('UAT Tracker'!$F$5:$F$23,A17)</x:f>
        <x:v>2</x:v>
      </x:c>
      <x:c r="C17" s="51"/>
      <x:c r="D17" s="51" t="str">
        <x:v>Severity 4</x:v>
      </x:c>
      <x:c r="E17" s="51" t="n">
        <x:f>COUNTIFS('Defect Log'!$C$5:$C$10,D17,'Defect Log'!$E$5:$E$10,"&lt;&gt;Closed",'Defect Log'!$E$5:$E$10,"&lt;&gt;Rejected")</x:f>
        <x:v>1</x:v>
      </x:c>
      <x:c r="F17" s="51"/>
      <x:c r="G17" s="51"/>
      <x:c r="H17" s="51"/>
      <x:c r="I17" s="51"/>
      <x:c r="J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</x:row>
    <x:row r="37" ht="26" customHeight="1">
      <x:c r="A37" s="21" t="str">
        <x:v>Release Decision</x:v>
      </x:c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</x:row>
    <x:row r="39">
      <x:c r="A39" s="57" t="str">
        <x:v>Current Recommendation</x:v>
      </x:c>
      <x:c r="B39" s="57"/>
      <x:c r="C39" s="57"/>
      <x:c r="D39" s="57"/>
      <x:c r="E39" s="58" t="str">
        <x:f>'Sign-Off'!C16</x:f>
        <x:v>NOT READY — COMPLETE OPEN EXIT CRITERIA</x:v>
      </x:c>
      <x:c r="F39" s="58"/>
      <x:c r="G39" s="58"/>
      <x:c r="H39" s="58"/>
      <x:c r="I39" s="58"/>
      <x:c r="J39" s="58"/>
      <x:c r="K39" s="30"/>
      <x:c r="L39" s="30"/>
    </x:row>
    <x:row r="40">
      <x:c r="A40" s="57"/>
      <x:c r="B40" s="57"/>
      <x:c r="C40" s="57"/>
      <x:c r="D40" s="57"/>
      <x:c r="E40" s="58"/>
      <x:c r="F40" s="58"/>
      <x:c r="G40" s="58"/>
      <x:c r="H40" s="58"/>
      <x:c r="I40" s="58"/>
      <x:c r="J40" s="58"/>
      <x:c r="K40" s="30"/>
      <x:c r="L40" s="30"/>
    </x:row>
    <x:row r="41">
      <x:c r="A41" s="57"/>
      <x:c r="B41" s="57"/>
      <x:c r="C41" s="57"/>
      <x:c r="D41" s="57"/>
      <x:c r="E41" s="58"/>
      <x:c r="F41" s="58"/>
      <x:c r="G41" s="58"/>
      <x:c r="H41" s="58"/>
      <x:c r="I41" s="58"/>
      <x:c r="J41" s="58"/>
      <x:c r="K41" s="30"/>
      <x:c r="L41" s="30"/>
    </x:row>
    <x:row r="42">
      <x:c r="A42" s="57"/>
      <x:c r="B42" s="57"/>
      <x:c r="C42" s="57"/>
      <x:c r="D42" s="57"/>
      <x:c r="E42" s="58"/>
      <x:c r="F42" s="58"/>
      <x:c r="G42" s="58"/>
      <x:c r="H42" s="58"/>
      <x:c r="I42" s="58"/>
      <x:c r="J42" s="58"/>
      <x:c r="K42" s="30"/>
      <x:c r="L42" s="30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</x:row>
    <x:row r="45">
      <x:c r="A45" s="59" t="str">
        <x:v>Portfolio disclosure: This is a simulated independent Business Analyst case study. Test outcomes, defects and dates are illustrative and are not presented as employer or client results.</x:v>
      </x:c>
      <x:c r="B45" s="59"/>
      <x:c r="C45" s="59"/>
      <x:c r="D45" s="59"/>
      <x:c r="E45" s="59"/>
      <x:c r="F45" s="59"/>
      <x:c r="G45" s="59"/>
      <x:c r="H45" s="59"/>
      <x:c r="I45" s="59"/>
      <x:c r="J45" s="59"/>
      <x:c r="K45" s="50"/>
      <x:c r="L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</x:row>
  </x:sheetData>
  <x:mergeCells>
    <x:mergeCell ref="A1:L1"/>
    <x:mergeCell ref="A2:L2"/>
    <x:mergeCell ref="A4:L4"/>
    <x:mergeCell ref="A6:C6"/>
    <x:mergeCell ref="A7:C8"/>
    <x:mergeCell ref="D6:F6"/>
    <x:mergeCell ref="D7:F8"/>
    <x:mergeCell ref="G6:I6"/>
    <x:mergeCell ref="G7:I8"/>
    <x:mergeCell ref="J6:L6"/>
    <x:mergeCell ref="J7:L8"/>
    <x:mergeCell ref="A11:L11"/>
    <x:mergeCell ref="A37:L37"/>
    <x:mergeCell ref="A39:D42"/>
    <x:mergeCell ref="E39:L42"/>
    <x:mergeCell ref="A45:L47"/>
  </x:mergeCells>
  <x:pageMargins left="0.7" right="0.7" top="0.75" bottom="0.75" header="0.3" footer="0.3"/>
  <x:drawing xmlns:r="http://schemas.openxmlformats.org/officeDocument/2006/relationships" r:id="R039882e15e3c46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50" hidden="0" customWidth="1"/>
    <x:col min="4" max="4" width="14" hidden="0" customWidth="1"/>
    <x:col min="5" max="5" width="17" hidden="0" customWidth="1"/>
    <x:col min="6" max="6" width="16" hidden="0" customWidth="1"/>
    <x:col min="7" max="7" width="28" hidden="0" customWidth="1"/>
  </x:cols>
  <x:sheetData>
    <x:row r="1" ht="34" customHeight="1">
      <x:c r="A1" s="3" t="str">
        <x:v>Requirements Catalog</x:v>
      </x:c>
      <x:c r="B1" s="3"/>
      <x:c r="C1" s="3"/>
      <x:c r="D1" s="3"/>
      <x:c r="E1" s="3"/>
      <x:c r="F1" s="3"/>
      <x:c r="G1" s="3"/>
    </x:row>
    <x:row r="2" ht="26" customHeight="1">
      <x:c r="A2" s="6" t="str">
        <x:v>Employee Service Request Portal | Independent Business Analyst portfolio case study</x:v>
      </x:c>
      <x:c r="B2" s="6"/>
      <x:c r="C2" s="6"/>
      <x:c r="D2" s="6"/>
      <x:c r="E2" s="6"/>
      <x:c r="F2" s="6"/>
      <x:c r="G2" s="6"/>
    </x:row>
    <x:row r="3">
      <x:c r="A3" s="51"/>
      <x:c r="B3" s="51"/>
      <x:c r="C3" s="51"/>
      <x:c r="D3" s="51"/>
      <x:c r="E3" s="51"/>
      <x:c r="F3" s="51"/>
      <x:c r="G3" s="51"/>
    </x:row>
    <x:row r="4" ht="30" customHeight="1">
      <x:c r="A4" s="11" t="str">
        <x:v>Requirement ID</x:v>
      </x:c>
      <x:c r="B4" s="11" t="str">
        <x:v>Type</x:v>
      </x:c>
      <x:c r="C4" s="11" t="str">
        <x:v>Requirement</x:v>
      </x:c>
      <x:c r="D4" s="11" t="str">
        <x:v>Priority</x:v>
      </x:c>
      <x:c r="E4" s="11" t="str">
        <x:v>Business Owner</x:v>
      </x:c>
      <x:c r="F4" s="11" t="str">
        <x:v>Approval Status</x:v>
      </x:c>
      <x:c r="G4" s="11" t="str">
        <x:v>Source File</x:v>
      </x:c>
    </x:row>
    <x:row r="5" ht="27" customHeight="1">
      <x:c r="A5" s="16" t="str">
        <x:v>FR-01</x:v>
      </x:c>
      <x:c r="B5" s="16" t="str">
        <x:v>Functional</x:v>
      </x:c>
      <x:c r="C5" s="16" t="str">
        <x:v>Authenticate employees using corporate credentials</x:v>
      </x:c>
      <x:c r="D5" s="16" t="str">
        <x:v>Must</x:v>
      </x:c>
      <x:c r="E5" s="16" t="str">
        <x:v>Information Security</x:v>
      </x:c>
      <x:c r="F5" s="16" t="str">
        <x:v>Approved</x:v>
      </x:c>
      <x:c r="G5" s="16" t="str">
        <x:v>02-business-requirements.md</x:v>
      </x:c>
    </x:row>
    <x:row r="6" ht="27" customHeight="1">
      <x:c r="A6" s="16" t="str">
        <x:v>FR-02</x:v>
      </x:c>
      <x:c r="B6" s="16" t="str">
        <x:v>Functional</x:v>
      </x:c>
      <x:c r="C6" s="16" t="str">
        <x:v>Create a request using an approved category and subcategory</x:v>
      </x:c>
      <x:c r="D6" s="16" t="str">
        <x:v>Must</x:v>
      </x:c>
      <x:c r="E6" s="16" t="str">
        <x:v>Service Desk</x:v>
      </x:c>
      <x:c r="F6" s="16" t="str">
        <x:v>Approved</x:v>
      </x:c>
      <x:c r="G6" s="16" t="str">
        <x:v>02-business-requirements.md</x:v>
      </x:c>
    </x:row>
    <x:row r="7" ht="27" customHeight="1">
      <x:c r="A7" s="16" t="str">
        <x:v>FR-03</x:v>
      </x:c>
      <x:c r="B7" s="16" t="str">
        <x:v>Functional</x:v>
      </x:c>
      <x:c r="C7" s="16" t="str">
        <x:v>Require title, description, category and impact</x:v>
      </x:c>
      <x:c r="D7" s="16" t="str">
        <x:v>Must</x:v>
      </x:c>
      <x:c r="E7" s="16" t="str">
        <x:v>Service Desk</x:v>
      </x:c>
      <x:c r="F7" s="16" t="str">
        <x:v>Approved</x:v>
      </x:c>
      <x:c r="G7" s="16" t="str">
        <x:v>02-business-requirements.md</x:v>
      </x:c>
    </x:row>
    <x:row r="8" ht="27" customHeight="1">
      <x:c r="A8" s="16" t="str">
        <x:v>FR-04</x:v>
      </x:c>
      <x:c r="B8" s="16" t="str">
        <x:v>Functional</x:v>
      </x:c>
      <x:c r="C8" s="16" t="str">
        <x:v>Assign a unique system-generated request number</x:v>
      </x:c>
      <x:c r="D8" s="16" t="str">
        <x:v>Must</x:v>
      </x:c>
      <x:c r="E8" s="16" t="str">
        <x:v>Service Desk</x:v>
      </x:c>
      <x:c r="F8" s="16" t="str">
        <x:v>Approved</x:v>
      </x:c>
      <x:c r="G8" s="16" t="str">
        <x:v>02-business-requirements.md</x:v>
      </x:c>
    </x:row>
    <x:row r="9" ht="27" customHeight="1">
      <x:c r="A9" s="16" t="str">
        <x:v>FR-05</x:v>
      </x:c>
      <x:c r="B9" s="16" t="str">
        <x:v>Functional</x:v>
      </x:c>
      <x:c r="C9" s="16" t="str">
        <x:v>Route requests to a resolver group using approved category rules</x:v>
      </x:c>
      <x:c r="D9" s="16" t="str">
        <x:v>Must</x:v>
      </x:c>
      <x:c r="E9" s="16" t="str">
        <x:v>Service Desk</x:v>
      </x:c>
      <x:c r="F9" s="16" t="str">
        <x:v>Approved</x:v>
      </x:c>
      <x:c r="G9" s="16" t="str">
        <x:v>02-business-requirements.md</x:v>
      </x:c>
    </x:row>
    <x:row r="10" ht="27" customHeight="1">
      <x:c r="A10" s="16" t="str">
        <x:v>FR-06</x:v>
      </x:c>
      <x:c r="B10" s="16" t="str">
        <x:v>Functional</x:v>
      </x:c>
      <x:c r="C10" s="16" t="str">
        <x:v>Allow authorized agents to assign an individual resolver</x:v>
      </x:c>
      <x:c r="D10" s="16" t="str">
        <x:v>Must</x:v>
      </x:c>
      <x:c r="E10" s="16" t="str">
        <x:v>Service Desk</x:v>
      </x:c>
      <x:c r="F10" s="16" t="str">
        <x:v>Approved</x:v>
      </x:c>
      <x:c r="G10" s="16" t="str">
        <x:v>02-business-requirements.md</x:v>
      </x:c>
    </x:row>
    <x:row r="11" ht="27" customHeight="1">
      <x:c r="A11" s="16" t="str">
        <x:v>FR-07</x:v>
      </x:c>
      <x:c r="B11" s="16" t="str">
        <x:v>Functional</x:v>
      </x:c>
      <x:c r="C11" s="16" t="str">
        <x:v>Allow authorized users to update status and add comments</x:v>
      </x:c>
      <x:c r="D11" s="16" t="str">
        <x:v>Must</x:v>
      </x:c>
      <x:c r="E11" s="16" t="str">
        <x:v>Service Desk</x:v>
      </x:c>
      <x:c r="F11" s="16" t="str">
        <x:v>Approved</x:v>
      </x:c>
      <x:c r="G11" s="16" t="str">
        <x:v>02-business-requirements.md</x:v>
      </x:c>
    </x:row>
    <x:row r="12" ht="27" customHeight="1">
      <x:c r="A12" s="16" t="str">
        <x:v>FR-08</x:v>
      </x:c>
      <x:c r="B12" s="16" t="str">
        <x:v>Functional</x:v>
      </x:c>
      <x:c r="C12" s="16" t="str">
        <x:v>Allow employees to view submitted requests and current status</x:v>
      </x:c>
      <x:c r="D12" s="16" t="str">
        <x:v>Must</x:v>
      </x:c>
      <x:c r="E12" s="16" t="str">
        <x:v>Employee Services</x:v>
      </x:c>
      <x:c r="F12" s="16" t="str">
        <x:v>Approved</x:v>
      </x:c>
      <x:c r="G12" s="16" t="str">
        <x:v>02-business-requirements.md</x:v>
      </x:c>
    </x:row>
    <x:row r="13" ht="27" customHeight="1">
      <x:c r="A13" s="16" t="str">
        <x:v>FR-09</x:v>
      </x:c>
      <x:c r="B13" s="16" t="str">
        <x:v>Functional</x:v>
      </x:c>
      <x:c r="C13" s="16" t="str">
        <x:v>Retain user, timestamp and status history</x:v>
      </x:c>
      <x:c r="D13" s="16" t="str">
        <x:v>Must</x:v>
      </x:c>
      <x:c r="E13" s="16" t="str">
        <x:v>Service Desk</x:v>
      </x:c>
      <x:c r="F13" s="16" t="str">
        <x:v>Approved</x:v>
      </x:c>
      <x:c r="G13" s="16" t="str">
        <x:v>02-business-requirements.md</x:v>
      </x:c>
    </x:row>
    <x:row r="14" ht="27" customHeight="1">
      <x:c r="A14" s="16" t="str">
        <x:v>FR-10</x:v>
      </x:c>
      <x:c r="B14" s="16" t="str">
        <x:v>Functional</x:v>
      </x:c>
      <x:c r="C14" s="16" t="str">
        <x:v>Notify employees when a request is created, updated or resolved</x:v>
      </x:c>
      <x:c r="D14" s="16" t="str">
        <x:v>Should</x:v>
      </x:c>
      <x:c r="E14" s="16" t="str">
        <x:v>Employee Services</x:v>
      </x:c>
      <x:c r="F14" s="16" t="str">
        <x:v>Approved</x:v>
      </x:c>
      <x:c r="G14" s="16" t="str">
        <x:v>02-business-requirements.md</x:v>
      </x:c>
    </x:row>
    <x:row r="15" ht="27" customHeight="1">
      <x:c r="A15" s="16" t="str">
        <x:v>FR-11</x:v>
      </x:c>
      <x:c r="B15" s="16" t="str">
        <x:v>Functional</x:v>
      </x:c>
      <x:c r="C15" s="16" t="str">
        <x:v>Provide search and filters for applicable requests</x:v>
      </x:c>
      <x:c r="D15" s="16" t="str">
        <x:v>Should</x:v>
      </x:c>
      <x:c r="E15" s="16" t="str">
        <x:v>Service Desk</x:v>
      </x:c>
      <x:c r="F15" s="16" t="str">
        <x:v>Approved</x:v>
      </x:c>
      <x:c r="G15" s="16" t="str">
        <x:v>02-business-requirements.md</x:v>
      </x:c>
    </x:row>
    <x:row r="16" ht="27" customHeight="1">
      <x:c r="A16" s="16" t="str">
        <x:v>FR-12</x:v>
      </x:c>
      <x:c r="B16" s="16" t="str">
        <x:v>Functional</x:v>
      </x:c>
      <x:c r="C16" s="16" t="str">
        <x:v>Provide backlog, ageing, volume and resolution KPIs</x:v>
      </x:c>
      <x:c r="D16" s="16" t="str">
        <x:v>Should</x:v>
      </x:c>
      <x:c r="E16" s="16" t="str">
        <x:v>Service Desk Manager</x:v>
      </x:c>
      <x:c r="F16" s="16" t="str">
        <x:v>Approved</x:v>
      </x:c>
      <x:c r="G16" s="16" t="str">
        <x:v>02-business-requirements.md</x:v>
      </x:c>
    </x:row>
    <x:row r="17" ht="27" customHeight="1">
      <x:c r="A17" s="16" t="str">
        <x:v>FR-13</x:v>
      </x:c>
      <x:c r="B17" s="16" t="str">
        <x:v>Functional</x:v>
      </x:c>
      <x:c r="C17" s="16" t="str">
        <x:v>Allow authorized agents to reopen an eligible resolved request</x:v>
      </x:c>
      <x:c r="D17" s="16" t="str">
        <x:v>Could</x:v>
      </x:c>
      <x:c r="E17" s="16" t="str">
        <x:v>Service Desk</x:v>
      </x:c>
      <x:c r="F17" s="16" t="str">
        <x:v>Deferred</x:v>
      </x:c>
      <x:c r="G17" s="16" t="str">
        <x:v>02-business-requirements.md</x:v>
      </x:c>
    </x:row>
    <x:row r="18" ht="27" customHeight="1">
      <x:c r="A18" s="16" t="str">
        <x:v>FR-14</x:v>
      </x:c>
      <x:c r="B18" s="16" t="str">
        <x:v>Functional</x:v>
      </x:c>
      <x:c r="C18" s="16" t="str">
        <x:v>Allow approved attachments within the file-size limit</x:v>
      </x:c>
      <x:c r="D18" s="16" t="str">
        <x:v>Could</x:v>
      </x:c>
      <x:c r="E18" s="16" t="str">
        <x:v>Information Security</x:v>
      </x:c>
      <x:c r="F18" s="16" t="str">
        <x:v>Deferred</x:v>
      </x:c>
      <x:c r="G18" s="16" t="str">
        <x:v>02-business-requirements.md</x:v>
      </x:c>
    </x:row>
    <x:row r="19" ht="27" customHeight="1">
      <x:c r="A19" s="16" t="str">
        <x:v>NFR-01</x:v>
      </x:c>
      <x:c r="B19" s="16" t="str">
        <x:v>Non-Functional</x:v>
      </x:c>
      <x:c r="C19" s="16" t="str">
        <x:v>Standard pages load within three seconds under normal use</x:v>
      </x:c>
      <x:c r="D19" s="16" t="str">
        <x:v>Must</x:v>
      </x:c>
      <x:c r="E19" s="16" t="str">
        <x:v>IT Application Team</x:v>
      </x:c>
      <x:c r="F19" s="16" t="str">
        <x:v>Approved</x:v>
      </x:c>
      <x:c r="G19" s="16" t="str">
        <x:v>02-business-requirements.md</x:v>
      </x:c>
    </x:row>
    <x:row r="20" ht="27" customHeight="1">
      <x:c r="A20" s="16" t="str">
        <x:v>NFR-02</x:v>
      </x:c>
      <x:c r="B20" s="16" t="str">
        <x:v>Non-Functional</x:v>
      </x:c>
      <x:c r="C20" s="16" t="str">
        <x:v>Users access only requests permitted by their role</x:v>
      </x:c>
      <x:c r="D20" s="16" t="str">
        <x:v>Must</x:v>
      </x:c>
      <x:c r="E20" s="16" t="str">
        <x:v>Information Security</x:v>
      </x:c>
      <x:c r="F20" s="16" t="str">
        <x:v>Approved</x:v>
      </x:c>
      <x:c r="G20" s="16" t="str">
        <x:v>02-business-requirements.md</x:v>
      </x:c>
    </x:row>
    <x:row r="21" ht="27" customHeight="1">
      <x:c r="A21" s="16" t="str">
        <x:v>NFR-03</x:v>
      </x:c>
      <x:c r="B21" s="16" t="str">
        <x:v>Non-Functional</x:v>
      </x:c>
      <x:c r="C21" s="16" t="str">
        <x:v>Encrypt data in transit</x:v>
      </x:c>
      <x:c r="D21" s="16" t="str">
        <x:v>Must</x:v>
      </x:c>
      <x:c r="E21" s="16" t="str">
        <x:v>Information Security</x:v>
      </x:c>
      <x:c r="F21" s="16" t="str">
        <x:v>Approved</x:v>
      </x:c>
      <x:c r="G21" s="16" t="str">
        <x:v>02-business-requirements.md</x:v>
      </x:c>
    </x:row>
    <x:row r="22" ht="27" customHeight="1">
      <x:c r="A22" s="16" t="str">
        <x:v>NFR-04</x:v>
      </x:c>
      <x:c r="B22" s="16" t="str">
        <x:v>Non-Functional</x:v>
      </x:c>
      <x:c r="C22" s="16" t="str">
        <x:v>Meet applicable corporate accessibility standards</x:v>
      </x:c>
      <x:c r="D22" s="16" t="str">
        <x:v>Should</x:v>
      </x:c>
      <x:c r="E22" s="16" t="str">
        <x:v>Employee Services</x:v>
      </x:c>
      <x:c r="F22" s="16" t="str">
        <x:v>Approved</x:v>
      </x:c>
      <x:c r="G22" s="16" t="str">
        <x:v>02-business-requirements.md</x:v>
      </x:c>
    </x:row>
    <x:row r="23" ht="27" customHeight="1">
      <x:c r="A23" s="16" t="str">
        <x:v>NFR-05</x:v>
      </x:c>
      <x:c r="B23" s="16" t="str">
        <x:v>Non-Functional</x:v>
      </x:c>
      <x:c r="C23" s="16" t="str">
        <x:v>Retain request and audit history according to policy</x:v>
      </x:c>
      <x:c r="D23" s="16" t="str">
        <x:v>Must</x:v>
      </x:c>
      <x:c r="E23" s="16" t="str">
        <x:v>Information Security</x:v>
      </x:c>
      <x:c r="F23" s="16" t="str">
        <x:v>Approved</x:v>
      </x:c>
      <x:c r="G23" s="16" t="str">
        <x:v>02-business-requirements.md</x:v>
      </x:c>
    </x:row>
    <x:row r="24" ht="27" customHeight="1">
      <x:c r="A24" s="16" t="str">
        <x:v>NFR-06</x:v>
      </x:c>
      <x:c r="B24" s="16" t="str">
        <x:v>Non-Functional</x:v>
      </x:c>
      <x:c r="C24" s="16" t="str">
        <x:v>Support approved versions of major corporate browsers</x:v>
      </x:c>
      <x:c r="D24" s="16" t="str">
        <x:v>Should</x:v>
      </x:c>
      <x:c r="E24" s="16" t="str">
        <x:v>IT Application Team</x:v>
      </x:c>
      <x:c r="F24" s="16" t="str">
        <x:v>Approved</x:v>
      </x:c>
      <x:c r="G24" s="16" t="str">
        <x:v>02-business-requirements.md</x:v>
      </x:c>
    </x:row>
    <x:row r="25" ht="27" customHeight="1">
      <x:c r="A25" s="17" t="str">
        <x:v>NFR-07</x:v>
      </x:c>
      <x:c r="B25" s="17" t="str">
        <x:v>Non-Functional</x:v>
      </x:c>
      <x:c r="C25" s="17" t="str">
        <x:v>Show useful errors without exposing sensitive system details</x:v>
      </x:c>
      <x:c r="D25" s="17" t="str">
        <x:v>Must</x:v>
      </x:c>
      <x:c r="E25" s="17" t="str">
        <x:v>Information Security</x:v>
      </x:c>
      <x:c r="F25" s="17" t="str">
        <x:v>Approved</x:v>
      </x:c>
      <x:c r="G25" s="17" t="str">
        <x:v>02-business-requirements.md</x:v>
      </x:c>
    </x:row>
  </x:sheetData>
  <x:mergeCells>
    <x:mergeCell ref="A1:G1"/>
    <x:mergeCell ref="A2:G2"/>
  </x:mergeCells>
  <x:conditionalFormatting sqref="D5:D25">
    <x:cfRule type="expression" dxfId="0" priority="1">
      <x:formula>D5="Must"</x:formula>
    </x:cfRule>
  </x:conditionalFormatting>
  <x:conditionalFormatting sqref="F5:F25">
    <x:cfRule type="expression" dxfId="1" priority="2">
      <x:formula>F5="Approved"</x:formula>
    </x:cfRule>
  </x:conditionalFormatting>
  <x:dataValidations count="2">
    <x:dataValidation type="list" sqref="D5:D25">
      <x:formula1>"Must,Should,Could,Won't"</x:formula1>
    </x:dataValidation>
    <x:dataValidation type="list" sqref="F5:F25">
      <x:formula1>"Draft,In Review,Approved,Deferred,Rejected"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28" hidden="0" customWidth="1"/>
    <x:col min="5" max="5" width="19" hidden="0" customWidth="1"/>
    <x:col min="6" max="6" width="28" hidden="0" customWidth="1"/>
    <x:col min="7" max="7" width="15" hidden="0" customWidth="1"/>
    <x:col min="8" max="8" width="14" hidden="0" customWidth="1"/>
    <x:col min="9" max="9" width="18" hidden="0" customWidth="1"/>
    <x:col min="10" max="10" width="16" hidden="0" customWidth="1"/>
  </x:cols>
  <x:sheetData>
    <x:row r="1" ht="34" customHeight="1">
      <x:c r="A1" s="3" t="str">
        <x:v>Requirements Traceability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Requirement → story/rule → UAT scenario → execution result → defect traceability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 ht="30" customHeight="1">
      <x:c r="A4" s="11" t="str">
        <x:v>Requirement</x:v>
      </x:c>
      <x:c r="B4" s="11" t="str">
        <x:v>Requirement Summary</x:v>
      </x:c>
      <x:c r="C4" s="11" t="str">
        <x:v>Priority</x:v>
      </x:c>
      <x:c r="D4" s="11" t="str">
        <x:v>Story / Rule</x:v>
      </x:c>
      <x:c r="E4" s="11" t="str">
        <x:v>UAT Scenario</x:v>
      </x:c>
      <x:c r="F4" s="11" t="str">
        <x:v>Scenario Description</x:v>
      </x:c>
      <x:c r="G4" s="11" t="str">
        <x:v>Result</x:v>
      </x:c>
      <x:c r="H4" s="11" t="str">
        <x:v>Defect ID</x:v>
      </x:c>
      <x:c r="I4" s="11" t="str">
        <x:v>Coverage Status</x:v>
      </x:c>
      <x:c r="J4" s="11" t="str">
        <x:v>Traceability Notes</x:v>
      </x:c>
    </x:row>
    <x:row r="5" ht="34" customHeight="1">
      <x:c r="A5" s="16" t="str">
        <x:v>FR-01</x:v>
      </x:c>
      <x:c r="B5" s="16" t="str">
        <x:v>Authenticate employees</x:v>
      </x:c>
      <x:c r="C5" s="16" t="str">
        <x:v>Must</x:v>
      </x:c>
      <x:c r="D5" s="16" t="str">
        <x:v>Authorized access</x:v>
      </x:c>
      <x:c r="E5" s="16" t="str">
        <x:v>UAT-01</x:v>
      </x:c>
      <x:c r="F5" s="16" t="str">
        <x:v>Valid employee sign-in</x:v>
      </x:c>
      <x:c r="G5" s="16" t="str">
        <x:v>Pass</x:v>
      </x:c>
      <x:c r="H5" s="16" t="str"/>
      <x:c r="I5" s="16" t="str">
        <x:f>IF(E5="","Not Covered",IF(G5="Pass","Validated",IF(OR(G5="Fail",G5="Blocked"),"At Risk","Pending")))</x:f>
        <x:v>Validated</x:v>
      </x:c>
      <x:c r="J5" s="16" t="str">
        <x:f>IF(I5="Validated","Requirement validated",IF(H5&lt;&gt;"","Review linked defect","Execution outstanding"))</x:f>
        <x:v>Requirement validated</x:v>
      </x:c>
    </x:row>
    <x:row r="6" ht="34" customHeight="1">
      <x:c r="A6" s="16" t="str">
        <x:v>FR-02</x:v>
      </x:c>
      <x:c r="B6" s="16" t="str">
        <x:v>Select active category</x:v>
      </x:c>
      <x:c r="C6" s="16" t="str">
        <x:v>Must</x:v>
      </x:c>
      <x:c r="D6" s="16" t="str">
        <x:v>US-01</x:v>
      </x:c>
      <x:c r="E6" s="16" t="str">
        <x:v>UAT-03</x:v>
      </x:c>
      <x:c r="F6" s="16" t="str">
        <x:v>Submit complete request</x:v>
      </x:c>
      <x:c r="G6" s="16" t="str">
        <x:v>Pass</x:v>
      </x:c>
      <x:c r="H6" s="16" t="str"/>
      <x:c r="I6" s="16" t="str">
        <x:f>IF(E6="","Not Covered",IF(G6="Pass","Validated",IF(OR(G6="Fail",G6="Blocked"),"At Risk","Pending")))</x:f>
        <x:v>Validated</x:v>
      </x:c>
      <x:c r="J6" s="16" t="str">
        <x:f>IF(I6="Validated","Requirement validated",IF(H6&lt;&gt;"","Review linked defect","Execution outstanding"))</x:f>
        <x:v>Requirement validated</x:v>
      </x:c>
    </x:row>
    <x:row r="7" ht="34" customHeight="1">
      <x:c r="A7" s="16" t="str">
        <x:v>FR-03</x:v>
      </x:c>
      <x:c r="B7" s="16" t="str">
        <x:v>Required request fields</x:v>
      </x:c>
      <x:c r="C7" s="16" t="str">
        <x:v>Must</x:v>
      </x:c>
      <x:c r="D7" s="16" t="str">
        <x:v>US-01</x:v>
      </x:c>
      <x:c r="E7" s="16" t="str">
        <x:v>UAT-04</x:v>
      </x:c>
      <x:c r="F7" s="16" t="str">
        <x:v>Mandatory description validation</x:v>
      </x:c>
      <x:c r="G7" s="16" t="str">
        <x:v>Pass</x:v>
      </x:c>
      <x:c r="H7" s="16" t="str"/>
      <x:c r="I7" s="16" t="str">
        <x:f>IF(E7="","Not Covered",IF(G7="Pass","Validated",IF(OR(G7="Fail",G7="Blocked"),"At Risk","Pending")))</x:f>
        <x:v>Validated</x:v>
      </x:c>
      <x:c r="J7" s="16" t="str">
        <x:f>IF(I7="Validated","Requirement validated",IF(H7&lt;&gt;"","Review linked defect","Execution outstanding"))</x:f>
        <x:v>Requirement validated</x:v>
      </x:c>
    </x:row>
    <x:row r="8" ht="34" customHeight="1">
      <x:c r="A8" s="16" t="str">
        <x:v>FR-04</x:v>
      </x:c>
      <x:c r="B8" s="16" t="str">
        <x:v>Unique request number</x:v>
      </x:c>
      <x:c r="C8" s="16" t="str">
        <x:v>Must</x:v>
      </x:c>
      <x:c r="D8" s="16" t="str">
        <x:v>US-01 / BR-01</x:v>
      </x:c>
      <x:c r="E8" s="16" t="str">
        <x:v>UAT-03</x:v>
      </x:c>
      <x:c r="F8" s="16" t="str">
        <x:v>Create unique request</x:v>
      </x:c>
      <x:c r="G8" s="16" t="str">
        <x:v>Pass</x:v>
      </x:c>
      <x:c r="H8" s="16" t="str"/>
      <x:c r="I8" s="16" t="str">
        <x:f>IF(E8="","Not Covered",IF(G8="Pass","Validated",IF(OR(G8="Fail",G8="Blocked"),"At Risk","Pending")))</x:f>
        <x:v>Validated</x:v>
      </x:c>
      <x:c r="J8" s="16" t="str">
        <x:f>IF(I8="Validated","Requirement validated",IF(H8&lt;&gt;"","Review linked defect","Execution outstanding"))</x:f>
        <x:v>Requirement validated</x:v>
      </x:c>
    </x:row>
    <x:row r="9" ht="34" customHeight="1">
      <x:c r="A9" s="16" t="str">
        <x:v>FR-05</x:v>
      </x:c>
      <x:c r="B9" s="16" t="str">
        <x:v>Route resolver group</x:v>
      </x:c>
      <x:c r="C9" s="16" t="str">
        <x:v>Must</x:v>
      </x:c>
      <x:c r="D9" s="16" t="str">
        <x:v>US-01</x:v>
      </x:c>
      <x:c r="E9" s="16" t="str">
        <x:v>UAT-05</x:v>
      </x:c>
      <x:c r="F9" s="16" t="str">
        <x:v>Category-based routing</x:v>
      </x:c>
      <x:c r="G9" s="16" t="str">
        <x:v>Fail</x:v>
      </x:c>
      <x:c r="H9" s="16" t="str">
        <x:v>DEF-002</x:v>
      </x:c>
      <x:c r="I9" s="16" t="str">
        <x:f>IF(E9="","Not Covered",IF(G9="Pass","Validated",IF(OR(G9="Fail",G9="Blocked"),"At Risk","Pending")))</x:f>
        <x:v>At Risk</x:v>
      </x:c>
      <x:c r="J9" s="16" t="str">
        <x:f>IF(I9="Validated","Requirement validated",IF(H9&lt;&gt;"","Review linked defect","Execution outstanding"))</x:f>
        <x:v>Review linked defect</x:v>
      </x:c>
    </x:row>
    <x:row r="10" ht="34" customHeight="1">
      <x:c r="A10" s="16" t="str">
        <x:v>FR-06</x:v>
      </x:c>
      <x:c r="B10" s="16" t="str">
        <x:v>Assign resolver</x:v>
      </x:c>
      <x:c r="C10" s="16" t="str">
        <x:v>Must</x:v>
      </x:c>
      <x:c r="D10" s="16" t="str">
        <x:v>US-03</x:v>
      </x:c>
      <x:c r="E10" s="16" t="str">
        <x:v>UAT-06, UAT-07</x:v>
      </x:c>
      <x:c r="F10" s="16" t="str">
        <x:v>Valid and invalid assignment</x:v>
      </x:c>
      <x:c r="G10" s="16" t="str">
        <x:v>Fail</x:v>
      </x:c>
      <x:c r="H10" s="16" t="str">
        <x:v>DEF-001</x:v>
      </x:c>
      <x:c r="I10" s="16" t="str">
        <x:f>IF(E10="","Not Covered",IF(G10="Pass","Validated",IF(OR(G10="Fail",G10="Blocked"),"At Risk","Pending")))</x:f>
        <x:v>At Risk</x:v>
      </x:c>
      <x:c r="J10" s="16" t="str">
        <x:f>IF(I10="Validated","Requirement validated",IF(H10&lt;&gt;"","Review linked defect","Execution outstanding"))</x:f>
        <x:v>Review linked defect</x:v>
      </x:c>
    </x:row>
    <x:row r="11" ht="34" customHeight="1">
      <x:c r="A11" s="16" t="str">
        <x:v>FR-07</x:v>
      </x:c>
      <x:c r="B11" s="16" t="str">
        <x:v>Update status and comments</x:v>
      </x:c>
      <x:c r="C11" s="16" t="str">
        <x:v>Must</x:v>
      </x:c>
      <x:c r="D11" s="16" t="str">
        <x:v>US-04, US-05 / BR-04–07</x:v>
      </x:c>
      <x:c r="E11" s="16" t="str">
        <x:v>UAT-08, UAT-09, UAT-10, UAT-11</x:v>
      </x:c>
      <x:c r="F11" s="16" t="str">
        <x:v>Status, hold, resolution and comments</x:v>
      </x:c>
      <x:c r="G11" s="16" t="str">
        <x:v>Pass</x:v>
      </x:c>
      <x:c r="H11" s="16" t="str"/>
      <x:c r="I11" s="16" t="str">
        <x:f>IF(E11="","Not Covered",IF(G11="Pass","Validated",IF(OR(G11="Fail",G11="Blocked"),"At Risk","Pending")))</x:f>
        <x:v>Validated</x:v>
      </x:c>
      <x:c r="J11" s="16" t="str">
        <x:f>IF(I11="Validated","Requirement validated",IF(H11&lt;&gt;"","Review linked defect","Execution outstanding"))</x:f>
        <x:v>Requirement validated</x:v>
      </x:c>
    </x:row>
    <x:row r="12" ht="34" customHeight="1">
      <x:c r="A12" s="16" t="str">
        <x:v>FR-08</x:v>
      </x:c>
      <x:c r="B12" s="16" t="str">
        <x:v>View submitted requests</x:v>
      </x:c>
      <x:c r="C12" s="16" t="str">
        <x:v>Must</x:v>
      </x:c>
      <x:c r="D12" s="16" t="str">
        <x:v>US-02</x:v>
      </x:c>
      <x:c r="E12" s="16" t="str">
        <x:v>UAT-12</x:v>
      </x:c>
      <x:c r="F12" s="16" t="str">
        <x:v>My Requests visibility</x:v>
      </x:c>
      <x:c r="G12" s="16" t="str">
        <x:v>Pass</x:v>
      </x:c>
      <x:c r="H12" s="16" t="str"/>
      <x:c r="I12" s="16" t="str">
        <x:f>IF(E12="","Not Covered",IF(G12="Pass","Validated",IF(OR(G12="Fail",G12="Blocked"),"At Risk","Pending")))</x:f>
        <x:v>Validated</x:v>
      </x:c>
      <x:c r="J12" s="16" t="str">
        <x:f>IF(I12="Validated","Requirement validated",IF(H12&lt;&gt;"","Review linked defect","Execution outstanding"))</x:f>
        <x:v>Requirement validated</x:v>
      </x:c>
    </x:row>
    <x:row r="13" ht="34" customHeight="1">
      <x:c r="A13" s="16" t="str">
        <x:v>FR-09</x:v>
      </x:c>
      <x:c r="B13" s="16" t="str">
        <x:v>Retain activity history</x:v>
      </x:c>
      <x:c r="C13" s="16" t="str">
        <x:v>Must</x:v>
      </x:c>
      <x:c r="D13" s="16" t="str">
        <x:v>US-03, US-04</x:v>
      </x:c>
      <x:c r="E13" s="16" t="str">
        <x:v>UAT-14</x:v>
      </x:c>
      <x:c r="F13" s="16" t="str">
        <x:v>Audit-history review</x:v>
      </x:c>
      <x:c r="G13" s="16" t="str">
        <x:v>Blocked</x:v>
      </x:c>
      <x:c r="H13" s="16" t="str">
        <x:v>DEF-004</x:v>
      </x:c>
      <x:c r="I13" s="16" t="str">
        <x:f>IF(E13="","Not Covered",IF(G13="Pass","Validated",IF(OR(G13="Fail",G13="Blocked"),"At Risk","Pending")))</x:f>
        <x:v>At Risk</x:v>
      </x:c>
      <x:c r="J13" s="16" t="str">
        <x:f>IF(I13="Validated","Requirement validated",IF(H13&lt;&gt;"","Review linked defect","Execution outstanding"))</x:f>
        <x:v>Review linked defect</x:v>
      </x:c>
    </x:row>
    <x:row r="14" ht="34" customHeight="1">
      <x:c r="A14" s="16" t="str">
        <x:v>FR-10</x:v>
      </x:c>
      <x:c r="B14" s="16" t="str">
        <x:v>Send notifications</x:v>
      </x:c>
      <x:c r="C14" s="16" t="str">
        <x:v>Should</x:v>
      </x:c>
      <x:c r="D14" s="16" t="str">
        <x:v>US-01, US-04</x:v>
      </x:c>
      <x:c r="E14" s="16" t="str">
        <x:v>UAT-15</x:v>
      </x:c>
      <x:c r="F14" s="16" t="str">
        <x:v>Creation and resolution notifications</x:v>
      </x:c>
      <x:c r="G14" s="16" t="str">
        <x:v>Fail</x:v>
      </x:c>
      <x:c r="H14" s="16" t="str">
        <x:v>DEF-003</x:v>
      </x:c>
      <x:c r="I14" s="16" t="str">
        <x:f>IF(E14="","Not Covered",IF(G14="Pass","Validated",IF(OR(G14="Fail",G14="Blocked"),"At Risk","Pending")))</x:f>
        <x:v>At Risk</x:v>
      </x:c>
      <x:c r="J14" s="16" t="str">
        <x:f>IF(I14="Validated","Requirement validated",IF(H14&lt;&gt;"","Review linked defect","Execution outstanding"))</x:f>
        <x:v>Review linked defect</x:v>
      </x:c>
    </x:row>
    <x:row r="15" ht="34" customHeight="1">
      <x:c r="A15" s="16" t="str">
        <x:v>FR-11</x:v>
      </x:c>
      <x:c r="B15" s="16" t="str">
        <x:v>Search and filter</x:v>
      </x:c>
      <x:c r="C15" s="16" t="str">
        <x:v>Should</x:v>
      </x:c>
      <x:c r="D15" s="16" t="str">
        <x:v>US-02</x:v>
      </x:c>
      <x:c r="E15" s="16" t="str">
        <x:v>UAT-16</x:v>
      </x:c>
      <x:c r="F15" s="16" t="str">
        <x:v>Status and date filters</x:v>
      </x:c>
      <x:c r="G15" s="16" t="str">
        <x:v>Pass</x:v>
      </x:c>
      <x:c r="H15" s="16" t="str"/>
      <x:c r="I15" s="16" t="str">
        <x:f>IF(E15="","Not Covered",IF(G15="Pass","Validated",IF(OR(G15="Fail",G15="Blocked"),"At Risk","Pending")))</x:f>
        <x:v>Validated</x:v>
      </x:c>
      <x:c r="J15" s="16" t="str">
        <x:f>IF(I15="Validated","Requirement validated",IF(H15&lt;&gt;"","Review linked defect","Execution outstanding"))</x:f>
        <x:v>Requirement validated</x:v>
      </x:c>
    </x:row>
    <x:row r="16" ht="34" customHeight="1">
      <x:c r="A16" s="16" t="str">
        <x:v>FR-12</x:v>
      </x:c>
      <x:c r="B16" s="16" t="str">
        <x:v>Manager dashboard</x:v>
      </x:c>
      <x:c r="C16" s="16" t="str">
        <x:v>Should</x:v>
      </x:c>
      <x:c r="D16" s="16" t="str">
        <x:v>US-06</x:v>
      </x:c>
      <x:c r="E16" s="16" t="str">
        <x:v>UAT-17, UAT-18</x:v>
      </x:c>
      <x:c r="F16" s="16" t="str">
        <x:v>Filtered KPIs and reconciliation</x:v>
      </x:c>
      <x:c r="G16" s="16" t="str">
        <x:v>Blocked</x:v>
      </x:c>
      <x:c r="H16" s="16" t="str">
        <x:v>DEF-005</x:v>
      </x:c>
      <x:c r="I16" s="16" t="str">
        <x:f>IF(E16="","Not Covered",IF(G16="Pass","Validated",IF(OR(G16="Fail",G16="Blocked"),"At Risk","Pending")))</x:f>
        <x:v>At Risk</x:v>
      </x:c>
      <x:c r="J16" s="16" t="str">
        <x:f>IF(I16="Validated","Requirement validated",IF(H16&lt;&gt;"","Review linked defect","Execution outstanding"))</x:f>
        <x:v>Review linked defect</x:v>
      </x:c>
    </x:row>
    <x:row r="17" ht="34" customHeight="1">
      <x:c r="A17" s="16" t="str">
        <x:v>NFR-02</x:v>
      </x:c>
      <x:c r="B17" s="16" t="str">
        <x:v>Role-based access</x:v>
      </x:c>
      <x:c r="C17" s="16" t="str">
        <x:v>Must</x:v>
      </x:c>
      <x:c r="D17" s="16" t="str">
        <x:v>BR-04, BR-08</x:v>
      </x:c>
      <x:c r="E17" s="16" t="str">
        <x:v>UAT-02, UAT-13</x:v>
      </x:c>
      <x:c r="F17" s="16" t="str">
        <x:v>Restricted request and comments</x:v>
      </x:c>
      <x:c r="G17" s="16" t="str">
        <x:v>Pass</x:v>
      </x:c>
      <x:c r="H17" s="16" t="str"/>
      <x:c r="I17" s="16" t="str">
        <x:f>IF(E17="","Not Covered",IF(G17="Pass","Validated",IF(OR(G17="Fail",G17="Blocked"),"At Risk","Pending")))</x:f>
        <x:v>Validated</x:v>
      </x:c>
      <x:c r="J17" s="16" t="str">
        <x:f>IF(I17="Validated","Requirement validated",IF(H17&lt;&gt;"","Review linked defect","Execution outstanding"))</x:f>
        <x:v>Requirement validated</x:v>
      </x:c>
    </x:row>
    <x:row r="18" ht="34" customHeight="1">
      <x:c r="A18" s="17" t="str">
        <x:v>NFR-07</x:v>
      </x:c>
      <x:c r="B18" s="17" t="str">
        <x:v>Safe error messages</x:v>
      </x:c>
      <x:c r="C18" s="17" t="str">
        <x:v>Must</x:v>
      </x:c>
      <x:c r="D18" s="17" t="str">
        <x:v>Error-handling rule</x:v>
      </x:c>
      <x:c r="E18" s="17" t="str">
        <x:v>UAT-19</x:v>
      </x:c>
      <x:c r="F18" s="17" t="str">
        <x:v>Controlled application error</x:v>
      </x:c>
      <x:c r="G18" s="17" t="str">
        <x:v>Not Run</x:v>
      </x:c>
      <x:c r="H18" s="17" t="str"/>
      <x:c r="I18" s="17" t="str">
        <x:f>IF(E18="","Not Covered",IF(G18="Pass","Validated",IF(OR(G18="Fail",G18="Blocked"),"At Risk","Pending")))</x:f>
        <x:v>Pending</x:v>
      </x:c>
      <x:c r="J18" s="17" t="str">
        <x:f>IF(I18="Validated","Requirement validated",IF(H18&lt;&gt;"","Review linked defect","Execution outstanding"))</x:f>
        <x:v>Execution outstanding</x:v>
      </x:c>
    </x:row>
  </x:sheetData>
  <x:mergeCells>
    <x:mergeCell ref="A1:J1"/>
    <x:mergeCell ref="A2:J2"/>
  </x:mergeCells>
  <x:conditionalFormatting sqref="I5:I18">
    <x:cfRule type="expression" dxfId="8" priority="1">
      <x:formula>I5="Validated"</x:formula>
    </x:cfRule>
    <x:cfRule type="expression" dxfId="9" priority="2">
      <x:formula>I5="At Risk"</x:formula>
    </x:cfRule>
    <x:cfRule type="expression" dxfId="10" priority="3">
      <x:formula>I5="Pending"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42" hidden="0" customWidth="1"/>
    <x:col min="4" max="4" width="43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5" hidden="0" customWidth="1"/>
    <x:col min="11" max="11" width="14" hidden="0" customWidth="1"/>
    <x:col min="12" max="12" width="22" hidden="0" customWidth="1"/>
  </x:cols>
  <x:sheetData>
    <x:row r="1" ht="34" customHeight="1">
      <x:c r="A1" s="3" t="str">
        <x:v>UAT Execution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6" t="str">
        <x:v>Editable test results with linked requirements, defects and evidence references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</x:row>
    <x:row r="4" ht="30" customHeight="1">
      <x:c r="A4" s="11" t="str">
        <x:v>Scenario ID</x:v>
      </x:c>
      <x:c r="B4" s="11" t="str">
        <x:v>Area</x:v>
      </x:c>
      <x:c r="C4" s="11" t="str">
        <x:v>Scenario</x:v>
      </x:c>
      <x:c r="D4" s="11" t="str">
        <x:v>Expected Result</x:v>
      </x:c>
      <x:c r="E4" s="11" t="str">
        <x:v>Priority</x:v>
      </x:c>
      <x:c r="F4" s="11" t="str">
        <x:v>Result</x:v>
      </x:c>
      <x:c r="G4" s="11" t="str">
        <x:v>Tester</x:v>
      </x:c>
      <x:c r="H4" s="11" t="str">
        <x:v>Execution Date</x:v>
      </x:c>
      <x:c r="I4" s="11" t="str">
        <x:v>Requirement</x:v>
      </x:c>
      <x:c r="J4" s="11" t="str">
        <x:v>Defect ID</x:v>
      </x:c>
      <x:c r="K4" s="11" t="str">
        <x:v>Evidence</x:v>
      </x:c>
      <x:c r="L4" s="11" t="str">
        <x:v>Comments</x:v>
      </x:c>
    </x:row>
    <x:row r="5">
      <x:c r="A5" s="16" t="str">
        <x:v>UAT-01</x:v>
      </x:c>
      <x:c r="B5" s="16" t="str">
        <x:v>Access &amp; Security</x:v>
      </x:c>
      <x:c r="C5" s="16" t="str">
        <x:v>Sign in with a valid employee account</x:v>
      </x:c>
      <x:c r="D5" s="16" t="str">
        <x:v>Correct portal role is displayed</x:v>
      </x:c>
      <x:c r="E5" s="16" t="str">
        <x:v>Must</x:v>
      </x:c>
      <x:c r="F5" s="16" t="str">
        <x:v>Pass</x:v>
      </x:c>
      <x:c r="G5" s="16" t="str">
        <x:v>Business Tester 1</x:v>
      </x:c>
      <x:c r="H5" s="18" t="n">
        <x:v>46223</x:v>
      </x:c>
      <x:c r="I5" s="16" t="str">
        <x:v>FR-01</x:v>
      </x:c>
      <x:c r="J5" s="16" t="str"/>
      <x:c r="K5" s="16" t="str">
        <x:v>EV-001</x:v>
      </x:c>
      <x:c r="L5" s="16" t="str">
        <x:v>Role confirmed</x:v>
      </x:c>
    </x:row>
    <x:row r="6">
      <x:c r="A6" s="16" t="str">
        <x:v>UAT-02</x:v>
      </x:c>
      <x:c r="B6" s="16" t="str">
        <x:v>Access &amp; Security</x:v>
      </x:c>
      <x:c r="C6" s="16" t="str">
        <x:v>Attempt to view another employee's restricted request</x:v>
      </x:c>
      <x:c r="D6" s="16" t="str">
        <x:v>Access is denied without exposing data</x:v>
      </x:c>
      <x:c r="E6" s="16" t="str">
        <x:v>Must</x:v>
      </x:c>
      <x:c r="F6" s="16" t="str">
        <x:v>Pass</x:v>
      </x:c>
      <x:c r="G6" s="16" t="str">
        <x:v>Business Tester 1</x:v>
      </x:c>
      <x:c r="H6" s="18" t="n">
        <x:v>46223</x:v>
      </x:c>
      <x:c r="I6" s="16" t="str">
        <x:v>NFR-02</x:v>
      </x:c>
      <x:c r="J6" s="16" t="str"/>
      <x:c r="K6" s="16" t="str">
        <x:v>EV-002</x:v>
      </x:c>
      <x:c r="L6" s="16" t="str">
        <x:v>Access denied as expected</x:v>
      </x:c>
    </x:row>
    <x:row r="7">
      <x:c r="A7" s="16" t="str">
        <x:v>UAT-03</x:v>
      </x:c>
      <x:c r="B7" s="16" t="str">
        <x:v>Request Submission</x:v>
      </x:c>
      <x:c r="C7" s="16" t="str">
        <x:v>Submit a complete request using an active category</x:v>
      </x:c>
      <x:c r="D7" s="16" t="str">
        <x:v>Unique request is created and routed</x:v>
      </x:c>
      <x:c r="E7" s="16" t="str">
        <x:v>Must</x:v>
      </x:c>
      <x:c r="F7" s="16" t="str">
        <x:v>Pass</x:v>
      </x:c>
      <x:c r="G7" s="16" t="str">
        <x:v>Business Tester 2</x:v>
      </x:c>
      <x:c r="H7" s="18" t="n">
        <x:v>46224</x:v>
      </x:c>
      <x:c r="I7" s="16" t="str">
        <x:v>FR-02, FR-04</x:v>
      </x:c>
      <x:c r="J7" s="16" t="str"/>
      <x:c r="K7" s="16" t="str">
        <x:v>EV-003</x:v>
      </x:c>
      <x:c r="L7" s="16" t="str">
        <x:v>Completed</x:v>
      </x:c>
    </x:row>
    <x:row r="8">
      <x:c r="A8" s="16" t="str">
        <x:v>UAT-04</x:v>
      </x:c>
      <x:c r="B8" s="16" t="str">
        <x:v>Request Submission</x:v>
      </x:c>
      <x:c r="C8" s="16" t="str">
        <x:v>Submit without a mandatory description</x:v>
      </x:c>
      <x:c r="D8" s="16" t="str">
        <x:v>Submission is blocked with field message</x:v>
      </x:c>
      <x:c r="E8" s="16" t="str">
        <x:v>Must</x:v>
      </x:c>
      <x:c r="F8" s="16" t="str">
        <x:v>Pass</x:v>
      </x:c>
      <x:c r="G8" s="16" t="str">
        <x:v>Business Tester 2</x:v>
      </x:c>
      <x:c r="H8" s="18" t="n">
        <x:v>46224</x:v>
      </x:c>
      <x:c r="I8" s="16" t="str">
        <x:v>FR-03</x:v>
      </x:c>
      <x:c r="J8" s="16" t="str"/>
      <x:c r="K8" s="16" t="str">
        <x:v>EV-004</x:v>
      </x:c>
      <x:c r="L8" s="16" t="str">
        <x:v>Validation displayed</x:v>
      </x:c>
    </x:row>
    <x:row r="9">
      <x:c r="A9" s="16" t="str">
        <x:v>UAT-05</x:v>
      </x:c>
      <x:c r="B9" s="16" t="str">
        <x:v>Request Submission</x:v>
      </x:c>
      <x:c r="C9" s="16" t="str">
        <x:v>Submit requests for different categories</x:v>
      </x:c>
      <x:c r="D9" s="16" t="str">
        <x:v>Each request reaches the correct group</x:v>
      </x:c>
      <x:c r="E9" s="16" t="str">
        <x:v>Must</x:v>
      </x:c>
      <x:c r="F9" s="16" t="str">
        <x:v>Fail</x:v>
      </x:c>
      <x:c r="G9" s="16" t="str">
        <x:v>Business Tester 2</x:v>
      </x:c>
      <x:c r="H9" s="18" t="n">
        <x:v>46224</x:v>
      </x:c>
      <x:c r="I9" s="16" t="str">
        <x:v>FR-05</x:v>
      </x:c>
      <x:c r="J9" s="16" t="str">
        <x:v>DEF-002</x:v>
      </x:c>
      <x:c r="K9" s="16" t="str">
        <x:v>EV-005</x:v>
      </x:c>
      <x:c r="L9" s="16" t="str">
        <x:v>Facilities request misrouted</x:v>
      </x:c>
    </x:row>
    <x:row r="10">
      <x:c r="A10" s="16" t="str">
        <x:v>UAT-06</x:v>
      </x:c>
      <x:c r="B10" s="16" t="str">
        <x:v>Assignment</x:v>
      </x:c>
      <x:c r="C10" s="16" t="str">
        <x:v>Assign a resolver from the correct group</x:v>
      </x:c>
      <x:c r="D10" s="16" t="str">
        <x:v>Assignee and history are updated</x:v>
      </x:c>
      <x:c r="E10" s="16" t="str">
        <x:v>Must</x:v>
      </x:c>
      <x:c r="F10" s="16" t="str">
        <x:v>Pass</x:v>
      </x:c>
      <x:c r="G10" s="16" t="str">
        <x:v>Business Tester 1</x:v>
      </x:c>
      <x:c r="H10" s="18" t="n">
        <x:v>46225</x:v>
      </x:c>
      <x:c r="I10" s="16" t="str">
        <x:v>FR-06</x:v>
      </x:c>
      <x:c r="J10" s="16" t="str"/>
      <x:c r="K10" s="16" t="str">
        <x:v>EV-006</x:v>
      </x:c>
      <x:c r="L10" s="16" t="str">
        <x:v>Completed</x:v>
      </x:c>
    </x:row>
    <x:row r="11">
      <x:c r="A11" s="16" t="str">
        <x:v>UAT-07</x:v>
      </x:c>
      <x:c r="B11" s="16" t="str">
        <x:v>Assignment</x:v>
      </x:c>
      <x:c r="C11" s="16" t="str">
        <x:v>Attempt assignment outside selected group</x:v>
      </x:c>
      <x:c r="D11" s="16" t="str">
        <x:v>Invalid assignee cannot be saved</x:v>
      </x:c>
      <x:c r="E11" s="16" t="str">
        <x:v>Must</x:v>
      </x:c>
      <x:c r="F11" s="16" t="str">
        <x:v>Fail</x:v>
      </x:c>
      <x:c r="G11" s="16" t="str">
        <x:v>Business Tester 1</x:v>
      </x:c>
      <x:c r="H11" s="18" t="n">
        <x:v>46225</x:v>
      </x:c>
      <x:c r="I11" s="16" t="str">
        <x:v>FR-06</x:v>
      </x:c>
      <x:c r="J11" s="16" t="str">
        <x:v>DEF-001</x:v>
      </x:c>
      <x:c r="K11" s="16" t="str">
        <x:v>EV-007</x:v>
      </x:c>
      <x:c r="L11" s="16" t="str">
        <x:v>Unauthorized assignee saved</x:v>
      </x:c>
    </x:row>
    <x:row r="12">
      <x:c r="A12" s="16" t="str">
        <x:v>UAT-08</x:v>
      </x:c>
      <x:c r="B12" s="16" t="str">
        <x:v>Processing</x:v>
      </x:c>
      <x:c r="C12" s="16" t="str">
        <x:v>Move Assigned request to In Progress</x:v>
      </x:c>
      <x:c r="D12" s="16" t="str">
        <x:v>Transition saves with user and timestamp</x:v>
      </x:c>
      <x:c r="E12" s="16" t="str">
        <x:v>Must</x:v>
      </x:c>
      <x:c r="F12" s="16" t="str">
        <x:v>Pass</x:v>
      </x:c>
      <x:c r="G12" s="16" t="str">
        <x:v>Business Tester 3</x:v>
      </x:c>
      <x:c r="H12" s="18" t="n">
        <x:v>46225</x:v>
      </x:c>
      <x:c r="I12" s="16" t="str">
        <x:v>FR-07, FR-09</x:v>
      </x:c>
      <x:c r="J12" s="16" t="str"/>
      <x:c r="K12" s="16" t="str">
        <x:v>EV-008</x:v>
      </x:c>
      <x:c r="L12" s="16" t="str">
        <x:v>Completed</x:v>
      </x:c>
    </x:row>
    <x:row r="13">
      <x:c r="A13" s="16" t="str">
        <x:v>UAT-09</x:v>
      </x:c>
      <x:c r="B13" s="16" t="str">
        <x:v>Processing</x:v>
      </x:c>
      <x:c r="C13" s="16" t="str">
        <x:v>Place request On Hold without a reason</x:v>
      </x:c>
      <x:c r="D13" s="16" t="str">
        <x:v>Update is blocked until reason entered</x:v>
      </x:c>
      <x:c r="E13" s="16" t="str">
        <x:v>Must</x:v>
      </x:c>
      <x:c r="F13" s="16" t="str">
        <x:v>Pass</x:v>
      </x:c>
      <x:c r="G13" s="16" t="str">
        <x:v>Business Tester 3</x:v>
      </x:c>
      <x:c r="H13" s="18" t="n">
        <x:v>46225</x:v>
      </x:c>
      <x:c r="I13" s="16" t="str">
        <x:v>FR-07</x:v>
      </x:c>
      <x:c r="J13" s="16" t="str"/>
      <x:c r="K13" s="16" t="str">
        <x:v>EV-009</x:v>
      </x:c>
      <x:c r="L13" s="16" t="str">
        <x:v>Rule enforced</x:v>
      </x:c>
    </x:row>
    <x:row r="14">
      <x:c r="A14" s="16" t="str">
        <x:v>UAT-10</x:v>
      </x:c>
      <x:c r="B14" s="16" t="str">
        <x:v>Processing</x:v>
      </x:c>
      <x:c r="C14" s="16" t="str">
        <x:v>Resolve without a resolution summary</x:v>
      </x:c>
      <x:c r="D14" s="16" t="str">
        <x:v>Update is blocked until summary entered</x:v>
      </x:c>
      <x:c r="E14" s="16" t="str">
        <x:v>Must</x:v>
      </x:c>
      <x:c r="F14" s="16" t="str">
        <x:v>Pass</x:v>
      </x:c>
      <x:c r="G14" s="16" t="str">
        <x:v>Business Tester 3</x:v>
      </x:c>
      <x:c r="H14" s="18" t="n">
        <x:v>46225</x:v>
      </x:c>
      <x:c r="I14" s="16" t="str">
        <x:v>FR-07</x:v>
      </x:c>
      <x:c r="J14" s="16" t="str"/>
      <x:c r="K14" s="16" t="str">
        <x:v>EV-010</x:v>
      </x:c>
      <x:c r="L14" s="16" t="str">
        <x:v>Rule enforced</x:v>
      </x:c>
    </x:row>
    <x:row r="15">
      <x:c r="A15" s="16" t="str">
        <x:v>UAT-11</x:v>
      </x:c>
      <x:c r="B15" s="16" t="str">
        <x:v>Comments</x:v>
      </x:c>
      <x:c r="C15" s="16" t="str">
        <x:v>Add an internal comment</x:v>
      </x:c>
      <x:c r="D15" s="16" t="str">
        <x:v>Only authorized agents see the comment</x:v>
      </x:c>
      <x:c r="E15" s="16" t="str">
        <x:v>Must</x:v>
      </x:c>
      <x:c r="F15" s="16" t="str">
        <x:v>Pass</x:v>
      </x:c>
      <x:c r="G15" s="16" t="str">
        <x:v>Business Tester 3</x:v>
      </x:c>
      <x:c r="H15" s="18" t="n">
        <x:v>46226</x:v>
      </x:c>
      <x:c r="I15" s="16" t="str">
        <x:v>FR-07, NFR-02</x:v>
      </x:c>
      <x:c r="J15" s="16" t="str"/>
      <x:c r="K15" s="16" t="str">
        <x:v>EV-011</x:v>
      </x:c>
      <x:c r="L15" s="16" t="str">
        <x:v>Visibility confirmed</x:v>
      </x:c>
    </x:row>
    <x:row r="16">
      <x:c r="A16" s="16" t="str">
        <x:v>UAT-12</x:v>
      </x:c>
      <x:c r="B16" s="16" t="str">
        <x:v>Employee Experience</x:v>
      </x:c>
      <x:c r="C16" s="16" t="str">
        <x:v>Employee opens My Requests</x:v>
      </x:c>
      <x:c r="D16" s="16" t="str">
        <x:v>Only permitted requests and statuses appear</x:v>
      </x:c>
      <x:c r="E16" s="16" t="str">
        <x:v>Must</x:v>
      </x:c>
      <x:c r="F16" s="16" t="str">
        <x:v>Pass</x:v>
      </x:c>
      <x:c r="G16" s="16" t="str">
        <x:v>Business Tester 1</x:v>
      </x:c>
      <x:c r="H16" s="18" t="n">
        <x:v>46226</x:v>
      </x:c>
      <x:c r="I16" s="16" t="str">
        <x:v>FR-08</x:v>
      </x:c>
      <x:c r="J16" s="16" t="str"/>
      <x:c r="K16" s="16" t="str">
        <x:v>EV-012</x:v>
      </x:c>
      <x:c r="L16" s="16" t="str">
        <x:v>Completed</x:v>
      </x:c>
    </x:row>
    <x:row r="17">
      <x:c r="A17" s="16" t="str">
        <x:v>UAT-13</x:v>
      </x:c>
      <x:c r="B17" s="16" t="str">
        <x:v>Employee Experience</x:v>
      </x:c>
      <x:c r="C17" s="16" t="str">
        <x:v>Open a request containing internal comments</x:v>
      </x:c>
      <x:c r="D17" s="16" t="str">
        <x:v>Internal comments are hidden</x:v>
      </x:c>
      <x:c r="E17" s="16" t="str">
        <x:v>Must</x:v>
      </x:c>
      <x:c r="F17" s="16" t="str">
        <x:v>Pass</x:v>
      </x:c>
      <x:c r="G17" s="16" t="str">
        <x:v>Business Tester 1</x:v>
      </x:c>
      <x:c r="H17" s="18" t="n">
        <x:v>46226</x:v>
      </x:c>
      <x:c r="I17" s="16" t="str">
        <x:v>NFR-02</x:v>
      </x:c>
      <x:c r="J17" s="16" t="str"/>
      <x:c r="K17" s="16" t="str">
        <x:v>EV-013</x:v>
      </x:c>
      <x:c r="L17" s="16" t="str">
        <x:v>Completed</x:v>
      </x:c>
    </x:row>
    <x:row r="18">
      <x:c r="A18" s="16" t="str">
        <x:v>UAT-14</x:v>
      </x:c>
      <x:c r="B18" s="16" t="str">
        <x:v>Audit</x:v>
      </x:c>
      <x:c r="C18" s="16" t="str">
        <x:v>Review request activity history</x:v>
      </x:c>
      <x:c r="D18" s="16" t="str">
        <x:v>Ordered status, assignment and comments appear</x:v>
      </x:c>
      <x:c r="E18" s="16" t="str">
        <x:v>Must</x:v>
      </x:c>
      <x:c r="F18" s="16" t="str">
        <x:v>Blocked</x:v>
      </x:c>
      <x:c r="G18" s="16" t="str">
        <x:v>Business Tester 3</x:v>
      </x:c>
      <x:c r="H18" s="18" t="n">
        <x:v>46227</x:v>
      </x:c>
      <x:c r="I18" s="16" t="str">
        <x:v>FR-09</x:v>
      </x:c>
      <x:c r="J18" s="16" t="str">
        <x:v>DEF-004</x:v>
      </x:c>
      <x:c r="K18" s="16" t="str"/>
      <x:c r="L18" s="16" t="str">
        <x:v>History service unavailable</x:v>
      </x:c>
    </x:row>
    <x:row r="19">
      <x:c r="A19" s="16" t="str">
        <x:v>UAT-15</x:v>
      </x:c>
      <x:c r="B19" s="16" t="str">
        <x:v>Notifications</x:v>
      </x:c>
      <x:c r="C19" s="16" t="str">
        <x:v>Create and resolve a request</x:v>
      </x:c>
      <x:c r="D19" s="16" t="str">
        <x:v>Correct notifications contain no sensitive content</x:v>
      </x:c>
      <x:c r="E19" s="16" t="str">
        <x:v>Should</x:v>
      </x:c>
      <x:c r="F19" s="16" t="str">
        <x:v>Fail</x:v>
      </x:c>
      <x:c r="G19" s="16" t="str">
        <x:v>Business Tester 2</x:v>
      </x:c>
      <x:c r="H19" s="18" t="n">
        <x:v>46227</x:v>
      </x:c>
      <x:c r="I19" s="16" t="str">
        <x:v>FR-10</x:v>
      </x:c>
      <x:c r="J19" s="16" t="str">
        <x:v>DEF-003</x:v>
      </x:c>
      <x:c r="K19" s="16" t="str">
        <x:v>EV-015</x:v>
      </x:c>
      <x:c r="L19" s="16" t="str">
        <x:v>Resolved notification missing</x:v>
      </x:c>
    </x:row>
    <x:row r="20">
      <x:c r="A20" s="16" t="str">
        <x:v>UAT-16</x:v>
      </x:c>
      <x:c r="B20" s="16" t="str">
        <x:v>Search &amp; Filter</x:v>
      </x:c>
      <x:c r="C20" s="16" t="str">
        <x:v>Filter My Requests by status and date</x:v>
      </x:c>
      <x:c r="D20" s="16" t="str">
        <x:v>Results match all criteria</x:v>
      </x:c>
      <x:c r="E20" s="16" t="str">
        <x:v>Should</x:v>
      </x:c>
      <x:c r="F20" s="16" t="str">
        <x:v>Pass</x:v>
      </x:c>
      <x:c r="G20" s="16" t="str">
        <x:v>Business Tester 2</x:v>
      </x:c>
      <x:c r="H20" s="18" t="n">
        <x:v>46227</x:v>
      </x:c>
      <x:c r="I20" s="16" t="str">
        <x:v>FR-11</x:v>
      </x:c>
      <x:c r="J20" s="16" t="str"/>
      <x:c r="K20" s="16" t="str">
        <x:v>EV-016</x:v>
      </x:c>
      <x:c r="L20" s="16" t="str">
        <x:v>Completed</x:v>
      </x:c>
    </x:row>
    <x:row r="21">
      <x:c r="A21" s="16" t="str">
        <x:v>UAT-17</x:v>
      </x:c>
      <x:c r="B21" s="16" t="str">
        <x:v>Reporting</x:v>
      </x:c>
      <x:c r="C21" s="16" t="str">
        <x:v>Filter dashboard by resolver group</x:v>
      </x:c>
      <x:c r="D21" s="16" t="str">
        <x:v>KPIs show only selected group</x:v>
      </x:c>
      <x:c r="E21" s="16" t="str">
        <x:v>Should</x:v>
      </x:c>
      <x:c r="F21" s="16" t="str">
        <x:v>Blocked</x:v>
      </x:c>
      <x:c r="G21" s="16" t="str">
        <x:v>Business Tester 4</x:v>
      </x:c>
      <x:c r="H21" s="18" t="n">
        <x:v>46228</x:v>
      </x:c>
      <x:c r="I21" s="16" t="str">
        <x:v>FR-12</x:v>
      </x:c>
      <x:c r="J21" s="16" t="str">
        <x:v>DEF-005</x:v>
      </x:c>
      <x:c r="K21" s="16" t="str"/>
      <x:c r="L21" s="16" t="str">
        <x:v>Dashboard refresh blocked</x:v>
      </x:c>
    </x:row>
    <x:row r="22">
      <x:c r="A22" s="16" t="str">
        <x:v>UAT-18</x:v>
      </x:c>
      <x:c r="B22" s="16" t="str">
        <x:v>Reporting</x:v>
      </x:c>
      <x:c r="C22" s="16" t="str">
        <x:v>Reconcile backlog and ageing to source requests</x:v>
      </x:c>
      <x:c r="D22" s="16" t="str">
        <x:v>Dashboard matches approved calculations</x:v>
      </x:c>
      <x:c r="E22" s="16" t="str">
        <x:v>Should</x:v>
      </x:c>
      <x:c r="F22" s="16" t="str">
        <x:v>Not Run</x:v>
      </x:c>
      <x:c r="G22" s="16" t="str">
        <x:v>Business Tester 4</x:v>
      </x:c>
      <x:c r="H22" s="18"/>
      <x:c r="I22" s="16" t="str">
        <x:v>FR-12</x:v>
      </x:c>
      <x:c r="J22" s="16" t="str"/>
      <x:c r="K22" s="16" t="str"/>
      <x:c r="L22" s="16" t="str">
        <x:v>Waiting for DEF-005</x:v>
      </x:c>
    </x:row>
    <x:row r="23">
      <x:c r="A23" s="17" t="str">
        <x:v>UAT-19</x:v>
      </x:c>
      <x:c r="B23" s="17" t="str">
        <x:v>Errors</x:v>
      </x:c>
      <x:c r="C23" s="17" t="str">
        <x:v>Trigger a controlled application error</x:v>
      </x:c>
      <x:c r="D23" s="17" t="str">
        <x:v>Clear message contains no sensitive details</x:v>
      </x:c>
      <x:c r="E23" s="17" t="str">
        <x:v>Must</x:v>
      </x:c>
      <x:c r="F23" s="17" t="str">
        <x:v>Not Run</x:v>
      </x:c>
      <x:c r="G23" s="17" t="str">
        <x:v>Business Tester 1</x:v>
      </x:c>
      <x:c r="H23" s="19"/>
      <x:c r="I23" s="17" t="str">
        <x:v>NFR-07</x:v>
      </x:c>
      <x:c r="J23" s="17" t="str"/>
      <x:c r="K23" s="17" t="str"/>
      <x:c r="L23" s="17" t="str">
        <x:v>Scheduled for retest cycle</x:v>
      </x:c>
    </x:row>
  </x:sheetData>
  <x:mergeCells>
    <x:mergeCell ref="A1:L1"/>
    <x:mergeCell ref="A2:L2"/>
  </x:mergeCells>
  <x:conditionalFormatting sqref="F5:F23">
    <x:cfRule type="expression" dxfId="2" priority="1">
      <x:formula>F5="Pass"</x:formula>
    </x:cfRule>
    <x:cfRule type="expression" dxfId="3" priority="2">
      <x:formula>F5="Fail"</x:formula>
    </x:cfRule>
    <x:cfRule type="expression" dxfId="4" priority="3">
      <x:formula>F5="Blocked"</x:formula>
    </x:cfRule>
  </x:conditionalFormatting>
  <x:dataValidations count="2">
    <x:dataValidation type="list" sqref="E5:E23">
      <x:formula1>"Must,Should,Could"</x:formula1>
    </x:dataValidation>
    <x:dataValidation type="list" sqref="F5:F23">
      <x:formula1>"Pass,Fail,Blocked,Not Run"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42" hidden="0" customWidth="1"/>
    <x:col min="12" max="12" width="42" hidden="0" customWidth="1"/>
  </x:cols>
  <x:sheetData>
    <x:row r="1" ht="34" customHeight="1">
      <x:c r="A1" s="3" t="str">
        <x:v>UAT Defect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6" t="str">
        <x:v>Illustrative defects demonstrate triage, traceability, ownership and release readiness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</x:row>
    <x:row r="4" ht="30" customHeight="1">
      <x:c r="A4" s="11" t="str">
        <x:v>Defect ID</x:v>
      </x:c>
      <x:c r="B4" s="11" t="str">
        <x:v>Title</x:v>
      </x:c>
      <x:c r="C4" s="11" t="str">
        <x:v>Severity</x:v>
      </x:c>
      <x:c r="D4" s="11" t="str">
        <x:v>Priority</x:v>
      </x:c>
      <x:c r="E4" s="11" t="str">
        <x:v>Status</x:v>
      </x:c>
      <x:c r="F4" s="11" t="str">
        <x:v>Scenario ID</x:v>
      </x:c>
      <x:c r="G4" s="11" t="str">
        <x:v>Requirement</x:v>
      </x:c>
      <x:c r="H4" s="11" t="str">
        <x:v>Assignee</x:v>
      </x:c>
      <x:c r="I4" s="11" t="str">
        <x:v>Target Build</x:v>
      </x:c>
      <x:c r="J4" s="11" t="str">
        <x:v>Due Date</x:v>
      </x:c>
      <x:c r="K4" s="11" t="str">
        <x:v>Expected Result</x:v>
      </x:c>
      <x:c r="L4" s="11" t="str">
        <x:v>Actual Result</x:v>
      </x:c>
    </x:row>
    <x:row r="5" ht="34" customHeight="1">
      <x:c r="A5" s="16" t="str">
        <x:v>DEF-001</x:v>
      </x:c>
      <x:c r="B5" s="16" t="str">
        <x:v>Resolver outside selected group can be assigned</x:v>
      </x:c>
      <x:c r="C5" s="16" t="str">
        <x:v>Severity 2</x:v>
      </x:c>
      <x:c r="D5" s="16" t="str">
        <x:v>High</x:v>
      </x:c>
      <x:c r="E5" s="16" t="str">
        <x:v>Ready for Retest</x:v>
      </x:c>
      <x:c r="F5" s="16" t="str">
        <x:v>UAT-07</x:v>
      </x:c>
      <x:c r="G5" s="16" t="str">
        <x:v>FR-06</x:v>
      </x:c>
      <x:c r="H5" s="16" t="str">
        <x:v>Development Team</x:v>
      </x:c>
      <x:c r="I5" s="16" t="str">
        <x:v>Build 1.2</x:v>
      </x:c>
      <x:c r="J5" s="18" t="n">
        <x:v>46231</x:v>
      </x:c>
      <x:c r="K5" s="16" t="str">
        <x:v>Only members of selected resolver group can be assigned</x:v>
      </x:c>
      <x:c r="L5" s="16" t="str">
        <x:v>User outside group was saved as assignee</x:v>
      </x:c>
    </x:row>
    <x:row r="6" ht="34" customHeight="1">
      <x:c r="A6" s="16" t="str">
        <x:v>DEF-002</x:v>
      </x:c>
      <x:c r="B6" s="16" t="str">
        <x:v>Facilities category routes to wrong resolver group</x:v>
      </x:c>
      <x:c r="C6" s="16" t="str">
        <x:v>Severity 2</x:v>
      </x:c>
      <x:c r="D6" s="16" t="str">
        <x:v>High</x:v>
      </x:c>
      <x:c r="E6" s="16" t="str">
        <x:v>In Progress</x:v>
      </x:c>
      <x:c r="F6" s="16" t="str">
        <x:v>UAT-05</x:v>
      </x:c>
      <x:c r="G6" s="16" t="str">
        <x:v>FR-05</x:v>
      </x:c>
      <x:c r="H6" s="16" t="str">
        <x:v>Development Team</x:v>
      </x:c>
      <x:c r="I6" s="16" t="str">
        <x:v>Build 1.2</x:v>
      </x:c>
      <x:c r="J6" s="18" t="n">
        <x:v>46232</x:v>
      </x:c>
      <x:c r="K6" s="16" t="str">
        <x:v>Request routes to approved category owner</x:v>
      </x:c>
      <x:c r="L6" s="16" t="str">
        <x:v>Request routed to General Service Desk</x:v>
      </x:c>
    </x:row>
    <x:row r="7" ht="34" customHeight="1">
      <x:c r="A7" s="16" t="str">
        <x:v>DEF-003</x:v>
      </x:c>
      <x:c r="B7" s="16" t="str">
        <x:v>Resolved notification is not generated</x:v>
      </x:c>
      <x:c r="C7" s="16" t="str">
        <x:v>Severity 3</x:v>
      </x:c>
      <x:c r="D7" s="16" t="str">
        <x:v>Medium</x:v>
      </x:c>
      <x:c r="E7" s="16" t="str">
        <x:v>Assigned</x:v>
      </x:c>
      <x:c r="F7" s="16" t="str">
        <x:v>UAT-15</x:v>
      </x:c>
      <x:c r="G7" s="16" t="str">
        <x:v>FR-10</x:v>
      </x:c>
      <x:c r="H7" s="16" t="str">
        <x:v>Development Team</x:v>
      </x:c>
      <x:c r="I7" s="16" t="str">
        <x:v>Build 1.3</x:v>
      </x:c>
      <x:c r="J7" s="18" t="n">
        <x:v>46235</x:v>
      </x:c>
      <x:c r="K7" s="16" t="str">
        <x:v>Employee receives resolution notification</x:v>
      </x:c>
      <x:c r="L7" s="16" t="str">
        <x:v>No notification was created</x:v>
      </x:c>
    </x:row>
    <x:row r="8" ht="34" customHeight="1">
      <x:c r="A8" s="16" t="str">
        <x:v>DEF-004</x:v>
      </x:c>
      <x:c r="B8" s="16" t="str">
        <x:v>Activity history service unavailable</x:v>
      </x:c>
      <x:c r="C8" s="16" t="str">
        <x:v>Severity 2</x:v>
      </x:c>
      <x:c r="D8" s="16" t="str">
        <x:v>High</x:v>
      </x:c>
      <x:c r="E8" s="16" t="str">
        <x:v>In Progress</x:v>
      </x:c>
      <x:c r="F8" s="16" t="str">
        <x:v>UAT-14</x:v>
      </x:c>
      <x:c r="G8" s="16" t="str">
        <x:v>FR-09</x:v>
      </x:c>
      <x:c r="H8" s="16" t="str">
        <x:v>IT Application Team</x:v>
      </x:c>
      <x:c r="I8" s="16" t="str">
        <x:v>Build 1.2</x:v>
      </x:c>
      <x:c r="J8" s="18" t="n">
        <x:v>46232</x:v>
      </x:c>
      <x:c r="K8" s="16" t="str">
        <x:v>Authorized viewer sees ordered activity history</x:v>
      </x:c>
      <x:c r="L8" s="16" t="str">
        <x:v>History page returns a service error</x:v>
      </x:c>
    </x:row>
    <x:row r="9" ht="34" customHeight="1">
      <x:c r="A9" s="16" t="str">
        <x:v>DEF-005</x:v>
      </x:c>
      <x:c r="B9" s="16" t="str">
        <x:v>Dashboard refresh fails for resolver filter</x:v>
      </x:c>
      <x:c r="C9" s="16" t="str">
        <x:v>Severity 3</x:v>
      </x:c>
      <x:c r="D9" s="16" t="str">
        <x:v>Medium</x:v>
      </x:c>
      <x:c r="E9" s="16" t="str">
        <x:v>Triaged</x:v>
      </x:c>
      <x:c r="F9" s="16" t="str">
        <x:v>UAT-17</x:v>
      </x:c>
      <x:c r="G9" s="16" t="str">
        <x:v>FR-12</x:v>
      </x:c>
      <x:c r="H9" s="16" t="str">
        <x:v>BI Developer</x:v>
      </x:c>
      <x:c r="I9" s="16" t="str">
        <x:v>Build 1.3</x:v>
      </x:c>
      <x:c r="J9" s="18" t="n">
        <x:v>46236</x:v>
      </x:c>
      <x:c r="K9" s="16" t="str">
        <x:v>KPIs refresh for selected resolver group</x:v>
      </x:c>
      <x:c r="L9" s="16" t="str">
        <x:v>Visuals remain blank after selection</x:v>
      </x:c>
    </x:row>
    <x:row r="10" ht="34" customHeight="1">
      <x:c r="A10" s="17" t="str">
        <x:v>DEF-006</x:v>
      </x:c>
      <x:c r="B10" s="17" t="str">
        <x:v>Long request title wraps unevenly</x:v>
      </x:c>
      <x:c r="C10" s="17" t="str">
        <x:v>Severity 4</x:v>
      </x:c>
      <x:c r="D10" s="17" t="str">
        <x:v>Low</x:v>
      </x:c>
      <x:c r="E10" s="17" t="str">
        <x:v>Deferred</x:v>
      </x:c>
      <x:c r="F10" s="17" t="str">
        <x:v>UAT-12</x:v>
      </x:c>
      <x:c r="G10" s="17" t="str">
        <x:v>FR-08</x:v>
      </x:c>
      <x:c r="H10" s="17" t="str">
        <x:v>UI Developer</x:v>
      </x:c>
      <x:c r="I10" s="17" t="str">
        <x:v>Backlog</x:v>
      </x:c>
      <x:c r="J10" s="19" t="n">
        <x:v>46249</x:v>
      </x:c>
      <x:c r="K10" s="17" t="str">
        <x:v>Title remains readable at supported resolution</x:v>
      </x:c>
      <x:c r="L10" s="17" t="str">
        <x:v>Title overlaps status on narrow screen</x:v>
      </x:c>
    </x:row>
  </x:sheetData>
  <x:mergeCells>
    <x:mergeCell ref="A1:L1"/>
    <x:mergeCell ref="A2:L2"/>
  </x:mergeCells>
  <x:conditionalFormatting sqref="C5:C10">
    <x:cfRule type="expression" dxfId="5" priority="1">
      <x:formula>C5="Severity 1"</x:formula>
    </x:cfRule>
    <x:cfRule type="expression" dxfId="6" priority="2">
      <x:formula>C5="Severity 2"</x:formula>
    </x:cfRule>
  </x:conditionalFormatting>
  <x:conditionalFormatting sqref="E5:E10">
    <x:cfRule type="expression" dxfId="7" priority="3">
      <x:formula>E5="Closed"</x:formula>
    </x:cfRule>
  </x:conditionalFormatting>
  <x:dataValidations count="3">
    <x:dataValidation type="list" sqref="C5:C10">
      <x:formula1>"Severity 1,Severity 2,Severity 3,Severity 4"</x:formula1>
    </x:dataValidation>
    <x:dataValidation type="list" sqref="D5:D10">
      <x:formula1>"Critical,High,Medium,Low"</x:formula1>
    </x:dataValidation>
    <x:dataValidation type="list" sqref="E5:E10">
      <x:formula1>"New,Triaged,Assigned,In Progress,Ready for Retest,Closed,Deferred,Rejected"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20" hidden="0" customWidth="1"/>
    <x:col min="5" max="5" width="25" hidden="0" customWidth="1"/>
    <x:col min="6" max="6" width="25" hidden="0" customWidth="1"/>
  </x:cols>
  <x:sheetData>
    <x:row r="1" ht="34" customHeight="1">
      <x:c r="A1" s="3" t="str">
        <x:v>UAT Sign-Off and Readiness</x:v>
      </x:c>
      <x:c r="B1" s="3"/>
      <x:c r="C1" s="3"/>
      <x:c r="D1" s="3"/>
      <x:c r="E1" s="3"/>
      <x:c r="F1" s="3"/>
    </x:row>
    <x:row r="2" ht="26" customHeight="1">
      <x:c r="A2" s="6" t="str">
        <x:v>Formula-driven exit-criteria assessment with documented decision ownership</x:v>
      </x:c>
      <x:c r="B2" s="6"/>
      <x:c r="C2" s="6"/>
      <x:c r="D2" s="6"/>
      <x:c r="E2" s="6"/>
      <x:c r="F2" s="6"/>
    </x:row>
    <x:row r="3">
      <x:c r="A3" s="51"/>
      <x:c r="B3" s="51"/>
      <x:c r="C3" s="51"/>
      <x:c r="D3" s="51"/>
      <x:c r="E3" s="51"/>
      <x:c r="F3" s="51"/>
    </x:row>
    <x:row r="4" ht="26" customHeight="1">
      <x:c r="A4" s="21" t="str">
        <x:v>Exit Criteria Assessment</x:v>
      </x:c>
      <x:c r="B4" s="21"/>
      <x:c r="C4" s="21"/>
      <x:c r="D4" s="21"/>
      <x:c r="E4" s="21"/>
      <x:c r="F4" s="21"/>
    </x:row>
    <x:row r="5">
      <x:c r="A5" s="51"/>
      <x:c r="B5" s="51"/>
      <x:c r="C5" s="51"/>
      <x:c r="D5" s="51"/>
      <x:c r="E5" s="51"/>
      <x:c r="F5" s="51"/>
    </x:row>
    <x:row r="6" ht="30" customHeight="1">
      <x:c r="A6" s="11" t="str">
        <x:v>Criterion</x:v>
      </x:c>
      <x:c r="B6" s="11" t="str">
        <x:v>Target</x:v>
      </x:c>
      <x:c r="C6" s="11" t="str">
        <x:v>Current</x:v>
      </x:c>
      <x:c r="D6" s="11" t="str">
        <x:v>Status</x:v>
      </x:c>
      <x:c r="E6" s="11" t="str">
        <x:v>Evidence / Formula Basis</x:v>
      </x:c>
      <x:c r="F6" s="11" t="str">
        <x:v>Owner</x:v>
      </x:c>
    </x:row>
    <x:row r="7" ht="30" customHeight="1">
      <x:c r="A7" s="16" t="str">
        <x:v>All Must-priority scenarios executed</x:v>
      </x:c>
      <x:c r="B7" s="16" t="str">
        <x:v>100%</x:v>
      </x:c>
      <x:c r="C7" s="22" t="n">
        <x:f>COUNTIFS('UAT Tracker'!$E$5:$E$23,"Must",'UAT Tracker'!$F$5:$F$23,"&lt;&gt;Not Run")/COUNTIF('UAT Tracker'!$E$5:$E$23,"Must")</x:f>
        <x:v>0.9333333333333333</x:v>
      </x:c>
      <x:c r="D7" s="16" t="str">
        <x:f>IF(C7=1,"Met","Not Met")</x:f>
        <x:v>Not Met</x:v>
      </x:c>
      <x:c r="E7" s="16" t="str">
        <x:v>Must test execution in UAT Tracker</x:v>
      </x:c>
      <x:c r="F7" s="16" t="str">
        <x:v>Business Analyst</x:v>
      </x:c>
    </x:row>
    <x:row r="8" ht="30" customHeight="1">
      <x:c r="A8" s="16" t="str">
        <x:v>No open Severity 1 defects</x:v>
      </x:c>
      <x:c r="B8" s="16" t="str">
        <x:v>0</x:v>
      </x:c>
      <x:c r="C8" s="16" t="n">
        <x:f>COUNTIFS('Defect Log'!$C$5:$C$10,"Severity 1",'Defect Log'!$E$5:$E$10,"&lt;&gt;Closed",'Defect Log'!$E$5:$E$10,"&lt;&gt;Rejected")</x:f>
        <x:v>0</x:v>
      </x:c>
      <x:c r="D8" s="16" t="str">
        <x:f>IF(C8=0,"Met","Not Met")</x:f>
        <x:v>Met</x:v>
      </x:c>
      <x:c r="E8" s="16" t="str">
        <x:v>Open defect count in Defect Log</x:v>
      </x:c>
      <x:c r="F8" s="16" t="str">
        <x:v>QA Lead</x:v>
      </x:c>
    </x:row>
    <x:row r="9" ht="30" customHeight="1">
      <x:c r="A9" s="16" t="str">
        <x:v>No open Severity 2 defects</x:v>
      </x:c>
      <x:c r="B9" s="16" t="str">
        <x:v>0</x:v>
      </x:c>
      <x:c r="C9" s="16" t="n">
        <x:f>COUNTIFS('Defect Log'!$C$5:$C$10,"Severity 2",'Defect Log'!$E$5:$E$10,"&lt;&gt;Closed",'Defect Log'!$E$5:$E$10,"&lt;&gt;Rejected")</x:f>
        <x:v>3</x:v>
      </x:c>
      <x:c r="D9" s="16" t="str">
        <x:f>IF(C9=0,"Met","Not Met")</x:f>
        <x:v>Not Met</x:v>
      </x:c>
      <x:c r="E9" s="16" t="str">
        <x:v>Open defect count in Defect Log</x:v>
      </x:c>
      <x:c r="F9" s="16" t="str">
        <x:v>QA Lead</x:v>
      </x:c>
    </x:row>
    <x:row r="10" ht="30" customHeight="1">
      <x:c r="A10" s="16" t="str">
        <x:v>Overall pass rate</x:v>
      </x:c>
      <x:c r="B10" s="16" t="str">
        <x:v>≥ 90%</x:v>
      </x:c>
      <x:c r="C10" s="22" t="n">
        <x:f>COUNTIF('UAT Tracker'!$F$5:$F$23,"Pass")/COUNTIF('UAT Tracker'!$F$5:$F$23,"&lt;&gt;Not Run")</x:f>
        <x:v>0.7058823529411765</x:v>
      </x:c>
      <x:c r="D10" s="16" t="str">
        <x:f>IF(C10&gt;=0.9,"Met","Not Met")</x:f>
        <x:v>Not Met</x:v>
      </x:c>
      <x:c r="E10" s="16" t="str">
        <x:v>Passed / executed scenarios</x:v>
      </x:c>
      <x:c r="F10" s="16" t="str">
        <x:v>Business Analyst</x:v>
      </x:c>
    </x:row>
    <x:row r="11" ht="30" customHeight="1">
      <x:c r="A11" s="17" t="str">
        <x:v>Sponsor approval recorded</x:v>
      </x:c>
      <x:c r="B11" s="17" t="str">
        <x:v>Yes</x:v>
      </x:c>
      <x:c r="C11" s="17" t="str">
        <x:v>No</x:v>
      </x:c>
      <x:c r="D11" s="17" t="str">
        <x:f>IF(C11="Yes","Met","Not Met")</x:f>
        <x:v>Not Met</x:v>
      </x:c>
      <x:c r="E11" s="17" t="str">
        <x:v>Formal approval record</x:v>
      </x:c>
      <x:c r="F11" s="17" t="str">
        <x:v>Business Sponsor</x:v>
      </x:c>
    </x:row>
    <x:row r="12">
      <x:c r="A12" s="51"/>
      <x:c r="B12" s="51"/>
      <x:c r="C12" s="51"/>
      <x:c r="D12" s="51"/>
      <x:c r="E12" s="51"/>
      <x:c r="F12" s="51"/>
    </x:row>
    <x:row r="13">
      <x:c r="A13" s="51"/>
      <x:c r="B13" s="51"/>
      <x:c r="C13" s="51"/>
      <x:c r="D13" s="51"/>
      <x:c r="E13" s="51"/>
      <x:c r="F13" s="51"/>
    </x:row>
    <x:row r="14" ht="26" customHeight="1">
      <x:c r="A14" s="21" t="str">
        <x:v>Overall Recommendation</x:v>
      </x:c>
      <x:c r="B14" s="21"/>
      <x:c r="C14" s="21"/>
      <x:c r="D14" s="21"/>
      <x:c r="E14" s="21"/>
      <x:c r="F14" s="21"/>
    </x:row>
    <x:row r="15">
      <x:c r="A15" s="51"/>
      <x:c r="B15" s="51"/>
      <x:c r="C15" s="51"/>
      <x:c r="D15" s="51"/>
      <x:c r="E15" s="51"/>
      <x:c r="F15" s="51"/>
    </x:row>
    <x:row r="16">
      <x:c r="A16" s="57" t="str">
        <x:v>Current Recommendation</x:v>
      </x:c>
      <x:c r="B16" s="57"/>
      <x:c r="C16" s="58" t="str">
        <x:f>IF(COUNTIF(D7:D11,"Not Met")=0,"READY FOR BUSINESS SIGN-OFF","NOT READY — COMPLETE OPEN EXIT CRITERIA")</x:f>
        <x:v>NOT READY — COMPLETE OPEN EXIT CRITERIA</x:v>
      </x:c>
      <x:c r="D16" s="58"/>
      <x:c r="E16" s="58"/>
      <x:c r="F16" s="58"/>
    </x:row>
    <x:row r="17">
      <x:c r="A17" s="57"/>
      <x:c r="B17" s="57"/>
      <x:c r="C17" s="58"/>
      <x:c r="D17" s="58"/>
      <x:c r="E17" s="58"/>
      <x:c r="F17" s="58"/>
    </x:row>
    <x:row r="18">
      <x:c r="A18" s="57"/>
      <x:c r="B18" s="57"/>
      <x:c r="C18" s="58"/>
      <x:c r="D18" s="58"/>
      <x:c r="E18" s="58"/>
      <x:c r="F18" s="58"/>
    </x:row>
    <x:row r="19">
      <x:c r="A19" s="51"/>
      <x:c r="B19" s="51"/>
      <x:c r="C19" s="51"/>
      <x:c r="D19" s="51"/>
      <x:c r="E19" s="51"/>
      <x:c r="F19" s="51"/>
    </x:row>
    <x:row r="20">
      <x:c r="A20" s="51"/>
      <x:c r="B20" s="51"/>
      <x:c r="C20" s="51"/>
      <x:c r="D20" s="51"/>
      <x:c r="E20" s="51"/>
      <x:c r="F20" s="51"/>
    </x:row>
    <x:row r="21" ht="30" customHeight="1">
      <x:c r="A21" s="11" t="str">
        <x:v>Role</x:v>
      </x:c>
      <x:c r="B21" s="11" t="str">
        <x:v>Name</x:v>
      </x:c>
      <x:c r="C21" s="11" t="str">
        <x:v>Decision</x:v>
      </x:c>
      <x:c r="D21" s="11" t="str">
        <x:v>Date</x:v>
      </x:c>
      <x:c r="E21" s="11" t="str">
        <x:v>Conditions / Accepted Risks</x:v>
      </x:c>
      <x:c r="F21" s="11" t="str">
        <x:v>Signature Reference</x:v>
      </x:c>
    </x:row>
    <x:row r="22">
      <x:c r="A22" s="16" t="str">
        <x:v>Business Sponsor</x:v>
      </x:c>
      <x:c r="B22" s="16" t="str">
        <x:v>To be completed</x:v>
      </x:c>
      <x:c r="C22" s="16" t="str">
        <x:v>Pending</x:v>
      </x:c>
      <x:c r="D22" s="18"/>
      <x:c r="E22" s="16" t="str"/>
      <x:c r="F22" s="16" t="str"/>
    </x:row>
    <x:row r="23">
      <x:c r="A23" s="16" t="str">
        <x:v>Business Analyst</x:v>
      </x:c>
      <x:c r="B23" s="16" t="str">
        <x:v>Gokul Raj</x:v>
      </x:c>
      <x:c r="C23" s="16" t="str">
        <x:v>Prepared</x:v>
      </x:c>
      <x:c r="D23" s="18" t="n">
        <x:v>46237</x:v>
      </x:c>
      <x:c r="E23" s="16" t="str">
        <x:v>Independent portfolio case study</x:v>
      </x:c>
      <x:c r="F23" s="16" t="str"/>
    </x:row>
    <x:row r="24">
      <x:c r="A24" s="17" t="str">
        <x:v>QA Lead</x:v>
      </x:c>
      <x:c r="B24" s="17" t="str">
        <x:v>To be completed</x:v>
      </x:c>
      <x:c r="C24" s="17" t="str">
        <x:v>Pending</x:v>
      </x:c>
      <x:c r="D24" s="19"/>
      <x:c r="E24" s="17" t="str"/>
      <x:c r="F24" s="17" t="str"/>
    </x:row>
  </x:sheetData>
  <x:mergeCells>
    <x:mergeCell ref="A1:F1"/>
    <x:mergeCell ref="A2:F2"/>
    <x:mergeCell ref="A4:F4"/>
    <x:mergeCell ref="A14:F14"/>
    <x:mergeCell ref="A16:B18"/>
    <x:mergeCell ref="C16:F18"/>
  </x:mergeCells>
  <x:conditionalFormatting sqref="D7:D11">
    <x:cfRule type="expression" dxfId="11" priority="1">
      <x:formula>D7="Met"</x:formula>
    </x:cfRule>
    <x:cfRule type="expression" dxfId="12" priority="2">
      <x:formula>D7="Not Met"</x:formula>
    </x:cfRule>
  </x:conditionalFormatting>
  <x:pageMargins left="0.7" right="0.7" top="0.75" bottom="0.75" header="0.3" footer="0.3"/>
</x:worksheet>
</file>